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teef.a.kareem\Documents\GitHub\SepalSolverBook\Morgana Data\"/>
    </mc:Choice>
  </mc:AlternateContent>
  <xr:revisionPtr revIDLastSave="0" documentId="13_ncr:1_{8A4CE39C-CCA5-4BAD-828A-4AF8A9A29CE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petrophysocs" sheetId="25" r:id="rId1"/>
    <sheet name="Saturation Calculation" sheetId="24" r:id="rId2"/>
    <sheet name="cap_pres" sheetId="14" r:id="rId3"/>
    <sheet name="PVT_data" sheetId="5" r:id="rId4"/>
    <sheet name="MDT_data" sheetId="6" r:id="rId5"/>
    <sheet name="well_test_VFP" sheetId="20" r:id="rId6"/>
    <sheet name="prod_data" sheetId="16" r:id="rId7"/>
    <sheet name="Low" sheetId="21" r:id="rId8"/>
    <sheet name="Mid" sheetId="22" r:id="rId9"/>
    <sheet name="High" sheetId="23" r:id="rId10"/>
  </sheets>
  <definedNames>
    <definedName name="_xlnm._FilterDatabase" localSheetId="6" hidden="1">prod_data!#REF!</definedName>
    <definedName name="_xlnm.Criteria" localSheetId="6">prod_data!#REF!</definedName>
    <definedName name="_xlnm.Extract" localSheetId="6">prod_data!#REF!</definedName>
    <definedName name="PVT_data">PVT_data!$A$9:$C$33</definedName>
    <definedName name="Sw_h_data">cap_pres!#REF!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17" i="25" l="1"/>
  <c r="AD18" i="25"/>
  <c r="AD19" i="25"/>
  <c r="AD20" i="25"/>
  <c r="AD21" i="25"/>
  <c r="AD22" i="25"/>
  <c r="AD23" i="25"/>
  <c r="AD24" i="25"/>
  <c r="AD25" i="25"/>
  <c r="AD26" i="25"/>
  <c r="AD27" i="25"/>
  <c r="AD28" i="25"/>
  <c r="AD29" i="25"/>
  <c r="AD30" i="25"/>
  <c r="AD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6" i="25"/>
  <c r="N37" i="25"/>
  <c r="N16" i="25"/>
  <c r="E25" i="25"/>
  <c r="F25" i="25"/>
  <c r="D25" i="25"/>
  <c r="D14" i="25"/>
  <c r="D19" i="25"/>
  <c r="E19" i="25" s="1"/>
  <c r="F19" i="25" s="1"/>
  <c r="I2" i="24"/>
  <c r="Y17" i="25"/>
  <c r="Y18" i="25"/>
  <c r="Y19" i="25"/>
  <c r="Y20" i="25"/>
  <c r="Y21" i="25"/>
  <c r="Y22" i="25"/>
  <c r="Y23" i="25"/>
  <c r="Y24" i="25"/>
  <c r="Y25" i="25"/>
  <c r="Y26" i="25"/>
  <c r="Y16" i="25"/>
  <c r="AB17" i="25" s="1"/>
  <c r="Q17" i="25"/>
  <c r="Q18" i="25"/>
  <c r="Q19" i="25"/>
  <c r="Q20" i="25"/>
  <c r="Q21" i="25"/>
  <c r="Q22" i="25"/>
  <c r="Q23" i="25"/>
  <c r="Q24" i="25"/>
  <c r="Q25" i="25"/>
  <c r="Q26" i="25"/>
  <c r="Q16" i="25"/>
  <c r="T17" i="25" s="1"/>
  <c r="I17" i="25"/>
  <c r="I18" i="25"/>
  <c r="I19" i="25"/>
  <c r="I20" i="25"/>
  <c r="I21" i="25"/>
  <c r="I22" i="25"/>
  <c r="I23" i="25"/>
  <c r="I24" i="25"/>
  <c r="I25" i="25"/>
  <c r="I26" i="25"/>
  <c r="I16" i="25"/>
  <c r="L17" i="25" s="1"/>
  <c r="D21" i="25"/>
  <c r="E21" i="25" s="1"/>
  <c r="F21" i="25" s="1"/>
  <c r="D12" i="25"/>
  <c r="K10" i="25"/>
  <c r="J10" i="25"/>
  <c r="B10" i="25"/>
  <c r="K9" i="25"/>
  <c r="E18" i="25" s="1"/>
  <c r="J9" i="25"/>
  <c r="E17" i="25" s="1"/>
  <c r="B9" i="25"/>
  <c r="B14" i="24"/>
  <c r="F3" i="24"/>
  <c r="G3" i="24" s="1"/>
  <c r="H3" i="24" s="1"/>
  <c r="F4" i="24"/>
  <c r="G4" i="24" s="1"/>
  <c r="H4" i="24" s="1"/>
  <c r="F5" i="24"/>
  <c r="G5" i="24" s="1"/>
  <c r="H5" i="24" s="1"/>
  <c r="F6" i="24"/>
  <c r="G6" i="24" s="1"/>
  <c r="H6" i="24" s="1"/>
  <c r="F7" i="24"/>
  <c r="G7" i="24" s="1"/>
  <c r="H7" i="24" s="1"/>
  <c r="F8" i="24"/>
  <c r="G8" i="24" s="1"/>
  <c r="H8" i="24" s="1"/>
  <c r="F9" i="24"/>
  <c r="G9" i="24" s="1"/>
  <c r="H9" i="24" s="1"/>
  <c r="F10" i="24"/>
  <c r="G10" i="24" s="1"/>
  <c r="H10" i="24" s="1"/>
  <c r="F11" i="24"/>
  <c r="G11" i="24" s="1"/>
  <c r="H11" i="24" s="1"/>
  <c r="F12" i="24"/>
  <c r="G12" i="24" s="1"/>
  <c r="H12" i="24" s="1"/>
  <c r="F13" i="24"/>
  <c r="G13" i="24" s="1"/>
  <c r="H13" i="24" s="1"/>
  <c r="F2" i="24"/>
  <c r="G2" i="24" s="1"/>
  <c r="H2" i="24" s="1"/>
  <c r="C4" i="24"/>
  <c r="C14" i="24" s="1"/>
  <c r="C5" i="24"/>
  <c r="C6" i="24"/>
  <c r="C7" i="24"/>
  <c r="C8" i="24"/>
  <c r="C9" i="24"/>
  <c r="C10" i="24"/>
  <c r="C11" i="24"/>
  <c r="C12" i="24"/>
  <c r="C13" i="24"/>
  <c r="C3" i="24"/>
  <c r="G4" i="6"/>
  <c r="L35" i="20"/>
  <c r="L34" i="20"/>
  <c r="L33" i="20"/>
  <c r="L32" i="20"/>
  <c r="L31" i="20"/>
  <c r="A17" i="20"/>
  <c r="A18" i="20"/>
  <c r="A19" i="20"/>
  <c r="A16" i="20"/>
  <c r="G32" i="20"/>
  <c r="G33" i="20"/>
  <c r="G34" i="20"/>
  <c r="G35" i="20"/>
  <c r="G31" i="20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9" i="5"/>
  <c r="N8" i="20"/>
  <c r="N9" i="20"/>
  <c r="N10" i="20"/>
  <c r="M8" i="20"/>
  <c r="M9" i="20"/>
  <c r="M10" i="20"/>
  <c r="M7" i="20"/>
  <c r="N7" i="20"/>
  <c r="C29" i="6"/>
  <c r="F4" i="6" s="1"/>
  <c r="N28" i="16"/>
  <c r="N27" i="16"/>
  <c r="I11" i="16"/>
  <c r="J11" i="16" s="1"/>
  <c r="I12" i="16"/>
  <c r="J12" i="16" s="1"/>
  <c r="I13" i="16"/>
  <c r="J13" i="16" s="1"/>
  <c r="I14" i="16"/>
  <c r="J14" i="16" s="1"/>
  <c r="I15" i="16"/>
  <c r="J15" i="16" s="1"/>
  <c r="I16" i="16"/>
  <c r="J16" i="16" s="1"/>
  <c r="I17" i="16"/>
  <c r="J17" i="16" s="1"/>
  <c r="I18" i="16"/>
  <c r="J18" i="16" s="1"/>
  <c r="I19" i="16"/>
  <c r="J19" i="16" s="1"/>
  <c r="I20" i="16"/>
  <c r="J20" i="16" s="1"/>
  <c r="I21" i="16"/>
  <c r="J21" i="16" s="1"/>
  <c r="I22" i="16"/>
  <c r="J22" i="16" s="1"/>
  <c r="I23" i="16"/>
  <c r="J23" i="16" s="1"/>
  <c r="I24" i="16"/>
  <c r="J24" i="16" s="1"/>
  <c r="I25" i="16"/>
  <c r="J25" i="16" s="1"/>
  <c r="I26" i="16"/>
  <c r="J26" i="16" s="1"/>
  <c r="I27" i="16"/>
  <c r="J27" i="16" s="1"/>
  <c r="I28" i="16"/>
  <c r="J28" i="16" s="1"/>
  <c r="I29" i="16"/>
  <c r="J29" i="16" s="1"/>
  <c r="I30" i="16"/>
  <c r="J30" i="16" s="1"/>
  <c r="I31" i="16"/>
  <c r="J31" i="16" s="1"/>
  <c r="I32" i="16"/>
  <c r="J32" i="16" s="1"/>
  <c r="I33" i="16"/>
  <c r="J33" i="16" s="1"/>
  <c r="I10" i="16"/>
  <c r="J10" i="16" s="1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10" i="16"/>
  <c r="AB18" i="25" l="1"/>
  <c r="AB19" i="25" s="1"/>
  <c r="AB20" i="25" s="1"/>
  <c r="AB21" i="25" s="1"/>
  <c r="AB22" i="25" s="1"/>
  <c r="AB23" i="25" s="1"/>
  <c r="AB24" i="25" s="1"/>
  <c r="AB25" i="25" s="1"/>
  <c r="AB26" i="25" s="1"/>
  <c r="AB27" i="25" s="1"/>
  <c r="L18" i="25"/>
  <c r="L19" i="25" s="1"/>
  <c r="L20" i="25" s="1"/>
  <c r="L21" i="25" s="1"/>
  <c r="L22" i="25" s="1"/>
  <c r="L23" i="25" s="1"/>
  <c r="L24" i="25" s="1"/>
  <c r="L25" i="25" s="1"/>
  <c r="L26" i="25" s="1"/>
  <c r="L27" i="25" s="1"/>
  <c r="T18" i="25"/>
  <c r="T19" i="25" s="1"/>
  <c r="T20" i="25" s="1"/>
  <c r="T21" i="25" s="1"/>
  <c r="T22" i="25" s="1"/>
  <c r="T23" i="25" s="1"/>
  <c r="T24" i="25" s="1"/>
  <c r="T25" i="25" s="1"/>
  <c r="T26" i="25" s="1"/>
  <c r="T27" i="25" s="1"/>
  <c r="F18" i="25"/>
  <c r="H14" i="24"/>
  <c r="D13" i="25"/>
  <c r="E20" i="25" s="1"/>
  <c r="S16" i="25" s="1"/>
  <c r="D17" i="25"/>
  <c r="F17" i="25"/>
  <c r="D18" i="25"/>
  <c r="H4" i="6"/>
  <c r="D20" i="25" l="1"/>
  <c r="D22" i="25" s="1"/>
  <c r="F20" i="25"/>
  <c r="E22" i="25"/>
  <c r="F22" i="25" l="1"/>
  <c r="AA16" i="25"/>
  <c r="AA17" i="25" s="1"/>
  <c r="AA18" i="25" s="1"/>
  <c r="AA19" i="25" s="1"/>
  <c r="AA20" i="25" s="1"/>
  <c r="AA21" i="25" s="1"/>
  <c r="AA22" i="25" s="1"/>
  <c r="AA23" i="25" s="1"/>
  <c r="AA24" i="25" s="1"/>
  <c r="AA25" i="25" s="1"/>
  <c r="AA26" i="25" s="1"/>
  <c r="AA27" i="25" s="1"/>
  <c r="AA28" i="25" s="1"/>
  <c r="AA29" i="25" s="1"/>
  <c r="AA30" i="25" s="1"/>
  <c r="K16" i="25"/>
  <c r="K17" i="25" s="1"/>
  <c r="J16" i="25" l="1"/>
  <c r="M16" i="25" s="1"/>
  <c r="J17" i="25"/>
  <c r="M17" i="25" s="1"/>
  <c r="K18" i="25"/>
  <c r="J18" i="25" l="1"/>
  <c r="M18" i="25" s="1"/>
  <c r="K19" i="25"/>
  <c r="J19" i="25" l="1"/>
  <c r="M19" i="25" s="1"/>
  <c r="K20" i="25"/>
  <c r="J20" i="25" l="1"/>
  <c r="K21" i="25"/>
  <c r="M20" i="25" l="1"/>
  <c r="S17" i="25"/>
  <c r="R16" i="25"/>
  <c r="U16" i="25" s="1"/>
  <c r="J21" i="25"/>
  <c r="M21" i="25" s="1"/>
  <c r="K22" i="25"/>
  <c r="R17" i="25" l="1"/>
  <c r="U17" i="25" s="1"/>
  <c r="S18" i="25"/>
  <c r="K23" i="25"/>
  <c r="J22" i="25"/>
  <c r="M22" i="25" s="1"/>
  <c r="S19" i="25" l="1"/>
  <c r="R18" i="25"/>
  <c r="U18" i="25" s="1"/>
  <c r="K24" i="25"/>
  <c r="J23" i="25"/>
  <c r="M23" i="25" s="1"/>
  <c r="S20" i="25" l="1"/>
  <c r="R19" i="25"/>
  <c r="U19" i="25" s="1"/>
  <c r="K25" i="25"/>
  <c r="J24" i="25"/>
  <c r="M24" i="25" s="1"/>
  <c r="R20" i="25" l="1"/>
  <c r="S21" i="25"/>
  <c r="K26" i="25"/>
  <c r="J25" i="25"/>
  <c r="M25" i="25" s="1"/>
  <c r="U20" i="25" l="1"/>
  <c r="R21" i="25"/>
  <c r="U21" i="25" s="1"/>
  <c r="S22" i="25"/>
  <c r="Z16" i="25"/>
  <c r="AC16" i="25" s="1"/>
  <c r="K27" i="25"/>
  <c r="J26" i="25"/>
  <c r="D24" i="25" l="1"/>
  <c r="I27" i="25" s="1"/>
  <c r="L28" i="25" s="1"/>
  <c r="M26" i="25"/>
  <c r="Z17" i="25"/>
  <c r="AC17" i="25" s="1"/>
  <c r="S23" i="25"/>
  <c r="R22" i="25"/>
  <c r="U22" i="25" s="1"/>
  <c r="K28" i="25"/>
  <c r="I28" i="25" l="1"/>
  <c r="L29" i="25" s="1"/>
  <c r="I29" i="25"/>
  <c r="L30" i="25" s="1"/>
  <c r="J27" i="25"/>
  <c r="M27" i="25" s="1"/>
  <c r="R23" i="25"/>
  <c r="U23" i="25" s="1"/>
  <c r="S24" i="25"/>
  <c r="Z18" i="25"/>
  <c r="AC18" i="25" s="1"/>
  <c r="K29" i="25"/>
  <c r="I30" i="25" l="1"/>
  <c r="L31" i="25" s="1"/>
  <c r="R24" i="25"/>
  <c r="U24" i="25" s="1"/>
  <c r="S25" i="25"/>
  <c r="Z19" i="25"/>
  <c r="AC19" i="25" s="1"/>
  <c r="K30" i="25"/>
  <c r="I31" i="25" l="1"/>
  <c r="L32" i="25" s="1"/>
  <c r="J28" i="25"/>
  <c r="M28" i="25" s="1"/>
  <c r="Z20" i="25"/>
  <c r="AC20" i="25" s="1"/>
  <c r="R25" i="25"/>
  <c r="U25" i="25" s="1"/>
  <c r="S26" i="25"/>
  <c r="K31" i="25"/>
  <c r="J29" i="25" l="1"/>
  <c r="M29" i="25" s="1"/>
  <c r="J30" i="25"/>
  <c r="M30" i="25" s="1"/>
  <c r="I32" i="25"/>
  <c r="L33" i="25" s="1"/>
  <c r="S27" i="25"/>
  <c r="R26" i="25"/>
  <c r="Z21" i="25"/>
  <c r="AC21" i="25" s="1"/>
  <c r="K32" i="25"/>
  <c r="J31" i="25" l="1"/>
  <c r="M31" i="25" s="1"/>
  <c r="I33" i="25"/>
  <c r="L34" i="25" s="1"/>
  <c r="E24" i="25"/>
  <c r="Q27" i="25" s="1"/>
  <c r="T28" i="25" s="1"/>
  <c r="U26" i="25"/>
  <c r="Z22" i="25"/>
  <c r="AC22" i="25" s="1"/>
  <c r="S28" i="25"/>
  <c r="K33" i="25"/>
  <c r="Q28" i="25" l="1"/>
  <c r="T29" i="25" s="1"/>
  <c r="R27" i="25"/>
  <c r="U27" i="25" s="1"/>
  <c r="I34" i="25"/>
  <c r="L35" i="25" s="1"/>
  <c r="S29" i="25"/>
  <c r="Z23" i="25"/>
  <c r="AC23" i="25" s="1"/>
  <c r="K34" i="25"/>
  <c r="J32" i="25" l="1"/>
  <c r="M32" i="25" s="1"/>
  <c r="J33" i="25"/>
  <c r="M33" i="25" s="1"/>
  <c r="R28" i="25"/>
  <c r="U28" i="25" s="1"/>
  <c r="Q29" i="25"/>
  <c r="T30" i="25" s="1"/>
  <c r="I35" i="25"/>
  <c r="L36" i="25" s="1"/>
  <c r="Z24" i="25"/>
  <c r="AC24" i="25" s="1"/>
  <c r="S30" i="25"/>
  <c r="K35" i="25"/>
  <c r="K36" i="25" s="1"/>
  <c r="J34" i="25" l="1"/>
  <c r="M34" i="25" s="1"/>
  <c r="R29" i="25"/>
  <c r="U29" i="25" s="1"/>
  <c r="Q30" i="25"/>
  <c r="I36" i="25"/>
  <c r="L37" i="25" s="1"/>
  <c r="K37" i="25"/>
  <c r="S31" i="25"/>
  <c r="Z25" i="25"/>
  <c r="AC25" i="25" s="1"/>
  <c r="J35" i="25"/>
  <c r="M35" i="25" s="1"/>
  <c r="R30" i="25" l="1"/>
  <c r="U30" i="25" s="1"/>
  <c r="T31" i="25"/>
  <c r="Q31" i="25"/>
  <c r="R31" i="25" s="1"/>
  <c r="U31" i="25" s="1"/>
  <c r="I37" i="25"/>
  <c r="J36" i="25"/>
  <c r="M36" i="25" s="1"/>
  <c r="Z26" i="25"/>
  <c r="J37" i="25" l="1"/>
  <c r="M37" i="25" s="1"/>
  <c r="F24" i="25"/>
  <c r="Y27" i="25" s="1"/>
  <c r="AB28" i="25" s="1"/>
  <c r="AC26" i="25"/>
  <c r="Y28" i="25" l="1"/>
  <c r="AB29" i="25" s="1"/>
  <c r="Z27" i="25"/>
  <c r="AC27" i="25" s="1"/>
  <c r="Z28" i="25" l="1"/>
  <c r="AC28" i="25" s="1"/>
  <c r="Y29" i="25"/>
  <c r="Y30" i="25" l="1"/>
  <c r="AB30" i="25"/>
  <c r="Z29" i="25"/>
  <c r="AC29" i="25" s="1"/>
  <c r="Z30" i="25" l="1"/>
  <c r="AC30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tc={5B60BD95-FCEE-419B-BF8D-78D56DC54302}</author>
  </authors>
  <commentList>
    <comment ref="B8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cumulative gas production</t>
      </text>
    </comment>
  </commentList>
</comments>
</file>

<file path=xl/sharedStrings.xml><?xml version="1.0" encoding="utf-8"?>
<sst xmlns="http://schemas.openxmlformats.org/spreadsheetml/2006/main" count="232" uniqueCount="101">
  <si>
    <t>depth</t>
  </si>
  <si>
    <t>m tvss</t>
  </si>
  <si>
    <t>m</t>
  </si>
  <si>
    <t>top</t>
  </si>
  <si>
    <t>base</t>
  </si>
  <si>
    <t>poro</t>
  </si>
  <si>
    <t>NTG</t>
  </si>
  <si>
    <t>PVT data</t>
  </si>
  <si>
    <t>Tres</t>
  </si>
  <si>
    <t>deg C</t>
  </si>
  <si>
    <t>pres</t>
  </si>
  <si>
    <t>Z</t>
  </si>
  <si>
    <t>ug</t>
  </si>
  <si>
    <t>cP</t>
  </si>
  <si>
    <t>bar</t>
  </si>
  <si>
    <t>MDT data</t>
  </si>
  <si>
    <t>well</t>
  </si>
  <si>
    <t>dfe</t>
  </si>
  <si>
    <t>m ahd</t>
  </si>
  <si>
    <t>T,res</t>
  </si>
  <si>
    <t>pwf</t>
  </si>
  <si>
    <t>Well petrophysics data</t>
  </si>
  <si>
    <t>gross</t>
  </si>
  <si>
    <t>nett</t>
  </si>
  <si>
    <t>sm3/d</t>
  </si>
  <si>
    <t>flowrate</t>
  </si>
  <si>
    <t>15/9-A</t>
  </si>
  <si>
    <t>15/9-B</t>
  </si>
  <si>
    <t>15/9-C</t>
  </si>
  <si>
    <t>pressure</t>
  </si>
  <si>
    <t>Capilliary pressure data</t>
  </si>
  <si>
    <t>cap pres</t>
  </si>
  <si>
    <t>Sw</t>
  </si>
  <si>
    <t>THP (bar)</t>
  </si>
  <si>
    <t>date</t>
  </si>
  <si>
    <t>Msm3</t>
  </si>
  <si>
    <t>Merlin field production  data</t>
  </si>
  <si>
    <t>MRL-1</t>
  </si>
  <si>
    <t>MRL-4</t>
  </si>
  <si>
    <t>MRL-6</t>
  </si>
  <si>
    <t>pinit</t>
  </si>
  <si>
    <t>cum. gas</t>
  </si>
  <si>
    <t>pres (barsa)</t>
  </si>
  <si>
    <t/>
  </si>
  <si>
    <t>production stopped 31 Mar 2013 after the production of 1555 Msm3 gas</t>
  </si>
  <si>
    <t>Bajocian (m tvss)</t>
  </si>
  <si>
    <t>Bajocian (m ahd)</t>
  </si>
  <si>
    <t>p,ref</t>
  </si>
  <si>
    <t>T,ref</t>
  </si>
  <si>
    <t>15/9-C well test &amp; VFP data</t>
  </si>
  <si>
    <t>well test data</t>
  </si>
  <si>
    <t>VFP data</t>
  </si>
  <si>
    <t>CGR</t>
  </si>
  <si>
    <t>shrinkage</t>
  </si>
  <si>
    <t>sm3/Msm3</t>
  </si>
  <si>
    <t>Time(Years)</t>
  </si>
  <si>
    <t>ProdRate(Mm^3)</t>
  </si>
  <si>
    <t>Thp(bar)</t>
  </si>
  <si>
    <t>CumgasProd(Mm^3)</t>
  </si>
  <si>
    <t>CumCondProd(Mm^3)</t>
  </si>
  <si>
    <t>CumGasProd(Mm^3)</t>
  </si>
  <si>
    <t>mean</t>
  </si>
  <si>
    <t>std</t>
  </si>
  <si>
    <t>P</t>
  </si>
  <si>
    <t>Gp</t>
  </si>
  <si>
    <t>z</t>
  </si>
  <si>
    <t>p/z</t>
  </si>
  <si>
    <t>GIIP</t>
  </si>
  <si>
    <t>RF</t>
  </si>
  <si>
    <t>Pr</t>
  </si>
  <si>
    <t>DelP2</t>
  </si>
  <si>
    <t>Q</t>
  </si>
  <si>
    <t>Bg</t>
  </si>
  <si>
    <t>rhog</t>
  </si>
  <si>
    <t>Radius</t>
  </si>
  <si>
    <t>A</t>
  </si>
  <si>
    <t>GRV</t>
  </si>
  <si>
    <t>Low</t>
  </si>
  <si>
    <t>Mid</t>
  </si>
  <si>
    <t>High</t>
  </si>
  <si>
    <t>Poro</t>
  </si>
  <si>
    <t>Pressure</t>
  </si>
  <si>
    <t>THP</t>
  </si>
  <si>
    <t>Pwf</t>
  </si>
  <si>
    <t>Drawdown</t>
  </si>
  <si>
    <t>Single</t>
  </si>
  <si>
    <t>Double</t>
  </si>
  <si>
    <t>EUR</t>
  </si>
  <si>
    <t>Reserve</t>
  </si>
  <si>
    <t>time</t>
  </si>
  <si>
    <t>CumProd</t>
  </si>
  <si>
    <t>Level</t>
  </si>
  <si>
    <t>Area</t>
  </si>
  <si>
    <t>Saturation</t>
  </si>
  <si>
    <t>Cap Press</t>
  </si>
  <si>
    <t>A*Sw/SUM(A)</t>
  </si>
  <si>
    <t>Initial Rate</t>
  </si>
  <si>
    <t>DeclineRate</t>
  </si>
  <si>
    <t>pi/zi</t>
  </si>
  <si>
    <t>CumCond</t>
  </si>
  <si>
    <t>CIIP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</si>
</sst>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000000"/>
    <numFmt numFmtId="168" formatCode="0.000E+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6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4" fillId="0" borderId="0" xfId="0" applyFont="1"/>
    <xf numFmtId="165" fontId="4" fillId="0" borderId="0" xfId="0" applyNumberFormat="1" applyFont="1"/>
    <xf numFmtId="14" fontId="0" fillId="0" borderId="0" xfId="0" quotePrefix="1" applyNumberFormat="1"/>
    <xf numFmtId="0" fontId="5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7" fillId="0" borderId="0" xfId="3" applyFont="1"/>
    <xf numFmtId="0" fontId="4" fillId="0" borderId="0" xfId="3" applyFont="1"/>
    <xf numFmtId="0" fontId="4" fillId="0" borderId="0" xfId="3" applyFont="1" applyAlignment="1">
      <alignment horizontal="right"/>
    </xf>
    <xf numFmtId="166" fontId="4" fillId="0" borderId="0" xfId="3" applyNumberFormat="1" applyFont="1"/>
    <xf numFmtId="2" fontId="4" fillId="0" borderId="0" xfId="3" applyNumberFormat="1" applyFont="1"/>
    <xf numFmtId="0" fontId="4" fillId="0" borderId="0" xfId="3" applyFont="1" applyAlignment="1">
      <alignment horizontal="left"/>
    </xf>
    <xf numFmtId="0" fontId="8" fillId="0" borderId="0" xfId="3" applyFont="1"/>
    <xf numFmtId="15" fontId="4" fillId="0" borderId="0" xfId="3" applyNumberFormat="1" applyFont="1" applyAlignment="1">
      <alignment horizontal="left"/>
    </xf>
    <xf numFmtId="0" fontId="7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2" fillId="0" borderId="0" xfId="0" quotePrefix="1" applyFont="1"/>
    <xf numFmtId="166" fontId="4" fillId="0" borderId="0" xfId="0" applyNumberFormat="1" applyFont="1"/>
    <xf numFmtId="0" fontId="9" fillId="0" borderId="0" xfId="0" applyFont="1"/>
    <xf numFmtId="167" fontId="0" fillId="0" borderId="0" xfId="0" applyNumberFormat="1"/>
    <xf numFmtId="11" fontId="0" fillId="0" borderId="0" xfId="0" applyNumberFormat="1"/>
    <xf numFmtId="0" fontId="10" fillId="0" borderId="0" xfId="4" applyAlignment="1">
      <alignment horizontal="center"/>
    </xf>
    <xf numFmtId="168" fontId="0" fillId="0" borderId="0" xfId="0" applyNumberFormat="1"/>
    <xf numFmtId="0" fontId="0" fillId="0" borderId="0" xfId="0" applyAlignment="1">
      <alignment horizontal="center"/>
    </xf>
    <xf numFmtId="0" fontId="4" fillId="0" borderId="0" xfId="4" applyFont="1" applyAlignment="1">
      <alignment horizontal="center"/>
    </xf>
    <xf numFmtId="0" fontId="4" fillId="0" borderId="0" xfId="3" applyFont="1" applyAlignment="1">
      <alignment horizontal="center"/>
    </xf>
  </cellXfs>
  <cellStyles count="5">
    <cellStyle name="Hyperlink" xfId="4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2" defaultPivotStyle="PivotStyleLight16"/>
  <colors>
    <mruColors>
      <color rgb="FF00FF00"/>
      <color rgb="FF008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petrophysocs!$X$16:$X$30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petrophysocs!$Y$16:$Y$30</c:f>
              <c:numCache>
                <c:formatCode>0.00E+00</c:formatCode>
                <c:ptCount val="15"/>
                <c:pt idx="0">
                  <c:v>653363.81883661635</c:v>
                </c:pt>
                <c:pt idx="1">
                  <c:v>653363.81883661635</c:v>
                </c:pt>
                <c:pt idx="2">
                  <c:v>653363.81883661635</c:v>
                </c:pt>
                <c:pt idx="3">
                  <c:v>653363.81883661635</c:v>
                </c:pt>
                <c:pt idx="4">
                  <c:v>653363.81883661635</c:v>
                </c:pt>
                <c:pt idx="5">
                  <c:v>653363.81883661635</c:v>
                </c:pt>
                <c:pt idx="6">
                  <c:v>653363.81883661635</c:v>
                </c:pt>
                <c:pt idx="7">
                  <c:v>653363.81883661635</c:v>
                </c:pt>
                <c:pt idx="8">
                  <c:v>653363.81883661635</c:v>
                </c:pt>
                <c:pt idx="9">
                  <c:v>653363.81883661635</c:v>
                </c:pt>
                <c:pt idx="10">
                  <c:v>653363.81883661635</c:v>
                </c:pt>
                <c:pt idx="11">
                  <c:v>456887.21621881443</c:v>
                </c:pt>
                <c:pt idx="12">
                  <c:v>319494.16592408187</c:v>
                </c:pt>
                <c:pt idx="13">
                  <c:v>223417.33022058956</c:v>
                </c:pt>
                <c:pt idx="14">
                  <c:v>156232.28455056302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BC9-BE0A-4CF72365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223328"/>
        <c:axId val="664226688"/>
      </c:scatterChart>
      <c:valAx>
        <c:axId val="664223328"/>
        <c:scaling>
          <c:orientation val="minMax"/>
          <c:max val="1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6688"/>
        <c:crosses val="autoZero"/>
        <c:crossBetween val="midCat"/>
      </c:valAx>
      <c:valAx>
        <c:axId val="6642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Prdoduction Rate</a:t>
                </a:r>
              </a:p>
              <a:p>
                <a:pPr>
                  <a:defRPr/>
                </a:pPr>
                <a:r>
                  <a:rPr lang="en-US"/>
                  <a:t>(m^3/D)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petrophysocs!$P$16:$P$32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petrophysocs!$Q$16:$Q$32</c:f>
              <c:numCache>
                <c:formatCode>0.00E+00</c:formatCode>
                <c:ptCount val="17"/>
                <c:pt idx="0">
                  <c:v>928075.27688991057</c:v>
                </c:pt>
                <c:pt idx="1">
                  <c:v>928075.27688991057</c:v>
                </c:pt>
                <c:pt idx="2">
                  <c:v>928075.27688991057</c:v>
                </c:pt>
                <c:pt idx="3">
                  <c:v>928075.27688991057</c:v>
                </c:pt>
                <c:pt idx="4">
                  <c:v>928075.27688991057</c:v>
                </c:pt>
                <c:pt idx="5">
                  <c:v>928075.27688991057</c:v>
                </c:pt>
                <c:pt idx="6">
                  <c:v>928075.27688991057</c:v>
                </c:pt>
                <c:pt idx="7">
                  <c:v>928075.27688991057</c:v>
                </c:pt>
                <c:pt idx="8">
                  <c:v>928075.27688991057</c:v>
                </c:pt>
                <c:pt idx="9">
                  <c:v>928075.27688991057</c:v>
                </c:pt>
                <c:pt idx="10">
                  <c:v>928075.27688991057</c:v>
                </c:pt>
                <c:pt idx="11">
                  <c:v>649093.57332692342</c:v>
                </c:pt>
                <c:pt idx="12">
                  <c:v>453974.45382471045</c:v>
                </c:pt>
                <c:pt idx="13">
                  <c:v>317508.6200116222</c:v>
                </c:pt>
                <c:pt idx="14">
                  <c:v>222064.7504112871</c:v>
                </c:pt>
                <c:pt idx="15">
                  <c:v>155311.54200922849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15-4EAE-8EFD-2BA883FBE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242528"/>
        <c:axId val="664229088"/>
      </c:scatterChart>
      <c:valAx>
        <c:axId val="664242528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9088"/>
        <c:crosses val="autoZero"/>
        <c:crossBetween val="midCat"/>
      </c:valAx>
      <c:valAx>
        <c:axId val="66422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 </a:t>
                </a:r>
              </a:p>
              <a:p>
                <a:pPr>
                  <a:defRPr/>
                </a:pPr>
                <a:r>
                  <a:rPr lang="en-US"/>
                  <a:t>(m^3/D)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4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petrophysocs!$H$16:$H$37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petrophysocs!$I$16:$I$37</c:f>
              <c:numCache>
                <c:formatCode>0.00E+00</c:formatCode>
                <c:ptCount val="22"/>
                <c:pt idx="0">
                  <c:v>1000000</c:v>
                </c:pt>
                <c:pt idx="1">
                  <c:v>1000000</c:v>
                </c:pt>
                <c:pt idx="2">
                  <c:v>1000000</c:v>
                </c:pt>
                <c:pt idx="3">
                  <c:v>1000000</c:v>
                </c:pt>
                <c:pt idx="4">
                  <c:v>1000000</c:v>
                </c:pt>
                <c:pt idx="5">
                  <c:v>1000000</c:v>
                </c:pt>
                <c:pt idx="6">
                  <c:v>1000000</c:v>
                </c:pt>
                <c:pt idx="7">
                  <c:v>1000000</c:v>
                </c:pt>
                <c:pt idx="8">
                  <c:v>1000000</c:v>
                </c:pt>
                <c:pt idx="9">
                  <c:v>1000000</c:v>
                </c:pt>
                <c:pt idx="10">
                  <c:v>1000000</c:v>
                </c:pt>
                <c:pt idx="11">
                  <c:v>856605.02731462277</c:v>
                </c:pt>
                <c:pt idx="12">
                  <c:v>733772.17282068555</c:v>
                </c:pt>
                <c:pt idx="13">
                  <c:v>628552.9321417734</c:v>
                </c:pt>
                <c:pt idx="14">
                  <c:v>538421.60160598997</c:v>
                </c:pt>
                <c:pt idx="15">
                  <c:v>461214.65075048193</c:v>
                </c:pt>
                <c:pt idx="16">
                  <c:v>395078.78850402078</c:v>
                </c:pt>
                <c:pt idx="17">
                  <c:v>338426.47641791479</c:v>
                </c:pt>
                <c:pt idx="18">
                  <c:v>289897.82107595942</c:v>
                </c:pt>
                <c:pt idx="19">
                  <c:v>248327.93094122183</c:v>
                </c:pt>
                <c:pt idx="20">
                  <c:v>212718.95406688907</c:v>
                </c:pt>
                <c:pt idx="21">
                  <c:v>182216.1254588055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4-4A72-AF94-5447822F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221408"/>
        <c:axId val="664225248"/>
      </c:scatterChart>
      <c:valAx>
        <c:axId val="664221408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5248"/>
        <c:crosses val="autoZero"/>
        <c:crossBetween val="midCat"/>
      </c:valAx>
      <c:valAx>
        <c:axId val="66422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 Rate </a:t>
                </a:r>
              </a:p>
              <a:p>
                <a:pPr>
                  <a:defRPr/>
                </a:pPr>
                <a:r>
                  <a:rPr lang="en-US"/>
                  <a:t>(m^3/D)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21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petrophysocs!$H$16:$H$37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petrophysocs!$L$16:$L$37</c:f>
              <c:numCache>
                <c:formatCode>0.00E+00</c:formatCode>
                <c:ptCount val="22"/>
                <c:pt idx="0" formatCode="General">
                  <c:v>0</c:v>
                </c:pt>
                <c:pt idx="1">
                  <c:v>365000000</c:v>
                </c:pt>
                <c:pt idx="2">
                  <c:v>730000000</c:v>
                </c:pt>
                <c:pt idx="3">
                  <c:v>1095000000</c:v>
                </c:pt>
                <c:pt idx="4">
                  <c:v>1460000000</c:v>
                </c:pt>
                <c:pt idx="5">
                  <c:v>1825000000</c:v>
                </c:pt>
                <c:pt idx="6">
                  <c:v>2190000000</c:v>
                </c:pt>
                <c:pt idx="7">
                  <c:v>2555000000</c:v>
                </c:pt>
                <c:pt idx="8">
                  <c:v>2920000000</c:v>
                </c:pt>
                <c:pt idx="9">
                  <c:v>3285000000</c:v>
                </c:pt>
                <c:pt idx="10">
                  <c:v>3650000000</c:v>
                </c:pt>
                <c:pt idx="11">
                  <c:v>4015000000</c:v>
                </c:pt>
                <c:pt idx="12">
                  <c:v>4327660834.9698372</c:v>
                </c:pt>
                <c:pt idx="13">
                  <c:v>4595487678.049387</c:v>
                </c:pt>
                <c:pt idx="14">
                  <c:v>4824909498.2811346</c:v>
                </c:pt>
                <c:pt idx="15">
                  <c:v>5021433382.867321</c:v>
                </c:pt>
                <c:pt idx="16">
                  <c:v>5189776730.3912468</c:v>
                </c:pt>
                <c:pt idx="17">
                  <c:v>5333980488.1952143</c:v>
                </c:pt>
                <c:pt idx="18">
                  <c:v>5457506152.0877533</c:v>
                </c:pt>
                <c:pt idx="19">
                  <c:v>5563318856.7804785</c:v>
                </c:pt>
                <c:pt idx="20">
                  <c:v>5653958551.5740242</c:v>
                </c:pt>
                <c:pt idx="21">
                  <c:v>5731600969.8084383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8-425E-9098-D9971C64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952048"/>
        <c:axId val="1441946768"/>
      </c:scatterChart>
      <c:valAx>
        <c:axId val="1441952048"/>
        <c:scaling>
          <c:orientation val="minMax"/>
          <c:max val="2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</a:t>
                </a:r>
                <a:r>
                  <a:rPr lang="en-US"/>
                  <a:t>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46768"/>
        <c:crosses val="autoZero"/>
        <c:crossBetween val="midCat"/>
      </c:valAx>
      <c:valAx>
        <c:axId val="14419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Gas </a:t>
                </a:r>
              </a:p>
              <a:p>
                <a:pPr>
                  <a:defRPr/>
                </a:pPr>
                <a:r>
                  <a:rPr lang="en-US" baseline="0"/>
                  <a:t>Production 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5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petrophysocs!$P$16:$P$32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petrophysocs!$T$16:$T$32</c:f>
              <c:numCache>
                <c:formatCode>0.00E+00</c:formatCode>
                <c:ptCount val="17"/>
                <c:pt idx="0" formatCode="General">
                  <c:v>0</c:v>
                </c:pt>
                <c:pt idx="1">
                  <c:v>338747476.06481737</c:v>
                </c:pt>
                <c:pt idx="2">
                  <c:v>677494952.12963474</c:v>
                </c:pt>
                <c:pt idx="3">
                  <c:v>1016242428.194452</c:v>
                </c:pt>
                <c:pt idx="4">
                  <c:v>1354989904.2592695</c:v>
                </c:pt>
                <c:pt idx="5">
                  <c:v>1693737380.3240869</c:v>
                </c:pt>
                <c:pt idx="6">
                  <c:v>2032484856.3889043</c:v>
                </c:pt>
                <c:pt idx="7">
                  <c:v>2371232332.4537215</c:v>
                </c:pt>
                <c:pt idx="8">
                  <c:v>2709979808.518539</c:v>
                </c:pt>
                <c:pt idx="9">
                  <c:v>3048727284.5833564</c:v>
                </c:pt>
                <c:pt idx="10">
                  <c:v>3387474760.6481738</c:v>
                </c:pt>
                <c:pt idx="11">
                  <c:v>3726222236.7129912</c:v>
                </c:pt>
                <c:pt idx="12">
                  <c:v>3963141390.9773183</c:v>
                </c:pt>
                <c:pt idx="13">
                  <c:v>4128842066.6233377</c:v>
                </c:pt>
                <c:pt idx="14">
                  <c:v>4244732712.9275799</c:v>
                </c:pt>
                <c:pt idx="15">
                  <c:v>4325786346.8276997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5-4833-A922-076D59594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977008"/>
        <c:axId val="1441987088"/>
      </c:scatterChart>
      <c:valAx>
        <c:axId val="1441977008"/>
        <c:scaling>
          <c:orientation val="minMax"/>
          <c:max val="1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87088"/>
        <c:crosses val="autoZero"/>
        <c:crossBetween val="midCat"/>
      </c:valAx>
      <c:valAx>
        <c:axId val="14419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Gas Production (m^3)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7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petrophysocs!$X$16:$X$30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petrophysocs!$AB$16:$AB$30</c:f>
              <c:numCache>
                <c:formatCode>0.00E+00</c:formatCode>
                <c:ptCount val="15"/>
                <c:pt idx="0" formatCode="General">
                  <c:v>0</c:v>
                </c:pt>
                <c:pt idx="1">
                  <c:v>238477793.87536496</c:v>
                </c:pt>
                <c:pt idx="2">
                  <c:v>476955587.75072992</c:v>
                </c:pt>
                <c:pt idx="3">
                  <c:v>715433381.62609482</c:v>
                </c:pt>
                <c:pt idx="4">
                  <c:v>953911175.50145984</c:v>
                </c:pt>
                <c:pt idx="5">
                  <c:v>1192388969.3768249</c:v>
                </c:pt>
                <c:pt idx="6">
                  <c:v>1430866763.2521899</c:v>
                </c:pt>
                <c:pt idx="7">
                  <c:v>1669344557.1275549</c:v>
                </c:pt>
                <c:pt idx="8">
                  <c:v>1907822351.0029199</c:v>
                </c:pt>
                <c:pt idx="9">
                  <c:v>2146300144.8782849</c:v>
                </c:pt>
                <c:pt idx="10">
                  <c:v>2384777938.7536497</c:v>
                </c:pt>
                <c:pt idx="11">
                  <c:v>2623255732.6290145</c:v>
                </c:pt>
                <c:pt idx="12">
                  <c:v>2790019566.5488815</c:v>
                </c:pt>
                <c:pt idx="13">
                  <c:v>2906634937.1111712</c:v>
                </c:pt>
                <c:pt idx="14">
                  <c:v>2988182262.6416864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0-4183-BC65-927A9580A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934768"/>
        <c:axId val="1441942928"/>
      </c:scatterChart>
      <c:valAx>
        <c:axId val="1441934768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Time</a:t>
                </a:r>
                <a:r>
                  <a:rPr lang="en-US" baseline="0"/>
                  <a:t> (year)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42928"/>
        <c:crosses val="autoZero"/>
        <c:crossBetween val="midCat"/>
      </c:valAx>
      <c:valAx>
        <c:axId val="14419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Gas Production 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93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petrophysocs!$X$16:$X$30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petrophysocs!$AD$16:$AD$30</c:f>
              <c:numCache>
                <c:formatCode>0.000E+00</c:formatCode>
                <c:ptCount val="15"/>
                <c:pt idx="0">
                  <c:v>0</c:v>
                </c:pt>
                <c:pt idx="1">
                  <c:v>315369.94210852752</c:v>
                </c:pt>
                <c:pt idx="2">
                  <c:v>479002.14183496905</c:v>
                </c:pt>
                <c:pt idx="3">
                  <c:v>689928.83579996647</c:v>
                </c:pt>
                <c:pt idx="4">
                  <c:v>798775.79007534485</c:v>
                </c:pt>
                <c:pt idx="5">
                  <c:v>891197.48354794539</c:v>
                </c:pt>
                <c:pt idx="6">
                  <c:v>969162.61002565781</c:v>
                </c:pt>
                <c:pt idx="7">
                  <c:v>1034639.8633163717</c:v>
                </c:pt>
                <c:pt idx="8">
                  <c:v>1089597.9372279765</c:v>
                </c:pt>
                <c:pt idx="9">
                  <c:v>1136005.5255683623</c:v>
                </c:pt>
                <c:pt idx="10">
                  <c:v>1175831.322145418</c:v>
                </c:pt>
                <c:pt idx="11">
                  <c:v>1211044.0207670338</c:v>
                </c:pt>
                <c:pt idx="12">
                  <c:v>1232215.3982612963</c:v>
                </c:pt>
                <c:pt idx="13">
                  <c:v>1250748.1316048752</c:v>
                </c:pt>
                <c:pt idx="14">
                  <c:v>1256962.5219130463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D-4F70-BD37-608DEDE8C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61664"/>
        <c:axId val="112754944"/>
      </c:scatterChart>
      <c:valAx>
        <c:axId val="112761664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(year)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4944"/>
        <c:crosses val="autoZero"/>
        <c:crossBetween val="midCat"/>
      </c:valAx>
      <c:valAx>
        <c:axId val="1127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Condensate Production(m^3)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6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petrophysocs!$P$16:$P$31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petrophysocs!$V$16:$V$31</c:f>
              <c:numCache>
                <c:formatCode>0.000E+00</c:formatCode>
                <c:ptCount val="16"/>
                <c:pt idx="0">
                  <c:v>0</c:v>
                </c:pt>
                <c:pt idx="1">
                  <c:v>456522.39316141815</c:v>
                </c:pt>
                <c:pt idx="2">
                  <c:v>692653.70138334902</c:v>
                </c:pt>
                <c:pt idx="3">
                  <c:v>998508.25466393074</c:v>
                </c:pt>
                <c:pt idx="4">
                  <c:v>1155664.1287494642</c:v>
                </c:pt>
                <c:pt idx="5">
                  <c:v>1289103.5100926054</c:v>
                </c:pt>
                <c:pt idx="6">
                  <c:v>1401622.8437951389</c:v>
                </c:pt>
                <c:pt idx="7">
                  <c:v>1496018.5749588488</c:v>
                </c:pt>
                <c:pt idx="8">
                  <c:v>1575087.1486855189</c:v>
                </c:pt>
                <c:pt idx="9">
                  <c:v>1641625.0100769335</c:v>
                </c:pt>
                <c:pt idx="10">
                  <c:v>1698428.6042348766</c:v>
                </c:pt>
                <c:pt idx="11">
                  <c:v>1748294.3762611325</c:v>
                </c:pt>
                <c:pt idx="12">
                  <c:v>1777836.0234288478</c:v>
                </c:pt>
                <c:pt idx="13">
                  <c:v>1804169.48549128</c:v>
                </c:pt>
                <c:pt idx="14">
                  <c:v>1822587.0442969119</c:v>
                </c:pt>
                <c:pt idx="15">
                  <c:v>1825499.5889404598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B-4FD7-84B5-F42FADB4A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90624"/>
        <c:axId val="112687264"/>
      </c:scatterChart>
      <c:valAx>
        <c:axId val="11269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87264"/>
        <c:crosses val="autoZero"/>
        <c:crossBetween val="midCat"/>
      </c:valAx>
      <c:valAx>
        <c:axId val="11268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AxCumulative Condensate Production (m^3)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9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petrophysocs!$H$16:$H$37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xVal>
          <c:yVal>
            <c:numRef>
              <c:f>petrophysocs!$N$16:$N$37</c:f>
              <c:numCache>
                <c:formatCode>0.000E+00</c:formatCode>
                <c:ptCount val="22"/>
                <c:pt idx="0">
                  <c:v>0</c:v>
                </c:pt>
                <c:pt idx="1">
                  <c:v>582423.85401966795</c:v>
                </c:pt>
                <c:pt idx="2">
                  <c:v>876001.91484453739</c:v>
                </c:pt>
                <c:pt idx="3">
                  <c:v>1131914.4384210964</c:v>
                </c:pt>
                <c:pt idx="4">
                  <c:v>1353174.5909993455</c:v>
                </c:pt>
                <c:pt idx="5">
                  <c:v>1542795.5388292847</c:v>
                </c:pt>
                <c:pt idx="6">
                  <c:v>1703790.448160914</c:v>
                </c:pt>
                <c:pt idx="7">
                  <c:v>1839172.4852442336</c:v>
                </c:pt>
                <c:pt idx="8">
                  <c:v>1903834.3796192335</c:v>
                </c:pt>
                <c:pt idx="9">
                  <c:v>2012996.5038292431</c:v>
                </c:pt>
                <c:pt idx="10">
                  <c:v>2103576.4770409428</c:v>
                </c:pt>
                <c:pt idx="11">
                  <c:v>2178587.4655043324</c:v>
                </c:pt>
                <c:pt idx="12">
                  <c:v>2232982.7769713178</c:v>
                </c:pt>
                <c:pt idx="13">
                  <c:v>2274226.2025393113</c:v>
                </c:pt>
                <c:pt idx="14">
                  <c:v>2306347.6380438674</c:v>
                </c:pt>
                <c:pt idx="15">
                  <c:v>2336824.8568513202</c:v>
                </c:pt>
                <c:pt idx="16">
                  <c:v>2362931.7957003517</c:v>
                </c:pt>
                <c:pt idx="17">
                  <c:v>2375933.5840520402</c:v>
                </c:pt>
                <c:pt idx="18">
                  <c:v>2395564.5141684623</c:v>
                </c:pt>
                <c:pt idx="19">
                  <c:v>2412380.4675970515</c:v>
                </c:pt>
                <c:pt idx="20">
                  <c:v>2426785.0978430696</c:v>
                </c:pt>
                <c:pt idx="21">
                  <c:v>2425675.9497916652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48-4D6E-BC1B-99F13F8F2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9984"/>
        <c:axId val="112672384"/>
      </c:scatterChart>
      <c:valAx>
        <c:axId val="11266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2384"/>
        <c:crosses val="autoZero"/>
        <c:crossBetween val="midCat"/>
      </c:valAx>
      <c:valAx>
        <c:axId val="11267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Condensate Production(m^3)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'Saturation Calculation'!$B$1</c:f>
              <c:strCache>
                <c:ptCount val="1"/>
                <c:pt idx="0">
                  <c:v>Area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'Saturation Calculation'!$A$2:$A$13</c:f>
              <c:numCache>
                <c:formatCode>General</c:formatCode>
                <c:ptCount val="12"/>
                <c:pt idx="0">
                  <c:v>2825</c:v>
                </c:pt>
                <c:pt idx="1">
                  <c:v>2850</c:v>
                </c:pt>
                <c:pt idx="2">
                  <c:v>2875</c:v>
                </c:pt>
                <c:pt idx="3">
                  <c:v>2900</c:v>
                </c:pt>
                <c:pt idx="4">
                  <c:v>2925</c:v>
                </c:pt>
                <c:pt idx="5">
                  <c:v>2950</c:v>
                </c:pt>
                <c:pt idx="6">
                  <c:v>2975</c:v>
                </c:pt>
                <c:pt idx="7">
                  <c:v>3000</c:v>
                </c:pt>
                <c:pt idx="8">
                  <c:v>3025</c:v>
                </c:pt>
                <c:pt idx="9">
                  <c:v>3050</c:v>
                </c:pt>
                <c:pt idx="10">
                  <c:v>3075</c:v>
                </c:pt>
                <c:pt idx="11">
                  <c:v>3100</c:v>
                </c:pt>
              </c:numCache>
            </c:numRef>
          </c:xVal>
          <c:yVal>
            <c:numRef>
              <c:f>'Saturation Calculation'!$B$2:$B$13</c:f>
              <c:numCache>
                <c:formatCode>General</c:formatCode>
                <c:ptCount val="12"/>
                <c:pt idx="0">
                  <c:v>66384.25</c:v>
                </c:pt>
                <c:pt idx="1">
                  <c:v>358195.97</c:v>
                </c:pt>
                <c:pt idx="2">
                  <c:v>588982.54</c:v>
                </c:pt>
                <c:pt idx="3">
                  <c:v>1031353.65</c:v>
                </c:pt>
                <c:pt idx="4">
                  <c:v>1014843.64</c:v>
                </c:pt>
                <c:pt idx="5">
                  <c:v>1070644.33</c:v>
                </c:pt>
                <c:pt idx="6">
                  <c:v>1065063</c:v>
                </c:pt>
                <c:pt idx="7">
                  <c:v>1007637.57</c:v>
                </c:pt>
                <c:pt idx="8">
                  <c:v>961897.75</c:v>
                </c:pt>
                <c:pt idx="9">
                  <c:v>906712.69</c:v>
                </c:pt>
                <c:pt idx="10">
                  <c:v>944276.82</c:v>
                </c:pt>
                <c:pt idx="11">
                  <c:v>2491628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B4-485B-A1F8-6823C4816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098000"/>
        <c:axId val="1169095600"/>
      </c:scatterChart>
      <c:valAx>
        <c:axId val="11690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95600"/>
        <c:crosses val="autoZero"/>
        <c:crossBetween val="midCat"/>
      </c:valAx>
      <c:valAx>
        <c:axId val="11690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9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Capillary</a:t>
            </a:r>
            <a:r>
              <a:rPr lang="en-US" baseline="0"/>
              <a:t> Pressure Vs Saturation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cap_pres!$A$5:$A$20</c:f>
              <c:numCache>
                <c:formatCode>0.000</c:formatCode>
                <c:ptCount val="16"/>
                <c:pt idx="0">
                  <c:v>0</c:v>
                </c:pt>
                <c:pt idx="1">
                  <c:v>0.69241379310344831</c:v>
                </c:pt>
                <c:pt idx="2">
                  <c:v>0.89931034482758621</c:v>
                </c:pt>
                <c:pt idx="3">
                  <c:v>1.1206896551724139</c:v>
                </c:pt>
                <c:pt idx="4">
                  <c:v>1.3117241379310345</c:v>
                </c:pt>
                <c:pt idx="5">
                  <c:v>1.3903448275862069</c:v>
                </c:pt>
                <c:pt idx="6">
                  <c:v>1.7124137931034482</c:v>
                </c:pt>
                <c:pt idx="7">
                  <c:v>2.2924137931034481</c:v>
                </c:pt>
                <c:pt idx="8">
                  <c:v>2.421379310344828</c:v>
                </c:pt>
                <c:pt idx="9">
                  <c:v>3.0524137931034483</c:v>
                </c:pt>
                <c:pt idx="10">
                  <c:v>3.4372413793103447</c:v>
                </c:pt>
                <c:pt idx="11">
                  <c:v>4.4468965517241381</c:v>
                </c:pt>
                <c:pt idx="12">
                  <c:v>5.2531034482758621</c:v>
                </c:pt>
                <c:pt idx="13">
                  <c:v>6.886206896551724</c:v>
                </c:pt>
                <c:pt idx="14">
                  <c:v>8.7482758620689651</c:v>
                </c:pt>
                <c:pt idx="15">
                  <c:v>20</c:v>
                </c:pt>
              </c:numCache>
            </c:numRef>
          </c:xVal>
          <c:yVal>
            <c:numRef>
              <c:f>cap_pres!$B$5:$B$20</c:f>
              <c:numCache>
                <c:formatCode>0.000</c:formatCode>
                <c:ptCount val="16"/>
                <c:pt idx="0">
                  <c:v>1</c:v>
                </c:pt>
                <c:pt idx="1">
                  <c:v>0.9990267594607235</c:v>
                </c:pt>
                <c:pt idx="2">
                  <c:v>0.99221407568578779</c:v>
                </c:pt>
                <c:pt idx="3">
                  <c:v>0.87834493259043367</c:v>
                </c:pt>
                <c:pt idx="4">
                  <c:v>0.80827161376252354</c:v>
                </c:pt>
                <c:pt idx="5">
                  <c:v>0.7829673597413338</c:v>
                </c:pt>
                <c:pt idx="6">
                  <c:v>0.69732219228499903</c:v>
                </c:pt>
                <c:pt idx="7">
                  <c:v>0.60583758159300516</c:v>
                </c:pt>
                <c:pt idx="8">
                  <c:v>0.59123897350385723</c:v>
                </c:pt>
                <c:pt idx="9">
                  <c:v>0.51727269251884089</c:v>
                </c:pt>
                <c:pt idx="10">
                  <c:v>0.48710223580126844</c:v>
                </c:pt>
                <c:pt idx="11">
                  <c:v>0.42092187913046442</c:v>
                </c:pt>
                <c:pt idx="12">
                  <c:v>0.38393873863795625</c:v>
                </c:pt>
                <c:pt idx="13">
                  <c:v>0.32554430628136444</c:v>
                </c:pt>
                <c:pt idx="14">
                  <c:v>0.28077524147464394</c:v>
                </c:pt>
                <c:pt idx="15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CF-484C-B3CC-83564582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693807"/>
        <c:axId val="559694287"/>
      </c:scatterChart>
      <c:valAx>
        <c:axId val="559693807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 Press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94287"/>
        <c:crosses val="autoZero"/>
        <c:crossBetween val="midCat"/>
      </c:valAx>
      <c:valAx>
        <c:axId val="55969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69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Well Test Power Law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1426071741033"/>
          <c:y val="0.12379349046015714"/>
          <c:w val="0.73504418197725285"/>
          <c:h val="0.7744546662306942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5134820647419067"/>
                  <c:y val="1.78748700183520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well_test_VFP!$M$7:$M$10</c:f>
              <c:numCache>
                <c:formatCode>0</c:formatCode>
                <c:ptCount val="4"/>
                <c:pt idx="0">
                  <c:v>5143.8496366920444</c:v>
                </c:pt>
                <c:pt idx="1">
                  <c:v>19287.926804218441</c:v>
                </c:pt>
                <c:pt idx="2">
                  <c:v>38120.181613009496</c:v>
                </c:pt>
                <c:pt idx="3">
                  <c:v>60056.230123808979</c:v>
                </c:pt>
              </c:numCache>
            </c:numRef>
          </c:xVal>
          <c:yVal>
            <c:numRef>
              <c:f>well_test_VFP!$N$7:$N$10</c:f>
              <c:numCache>
                <c:formatCode>General</c:formatCode>
                <c:ptCount val="4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0-4C33-8C86-CDD972EA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893263"/>
        <c:axId val="1663897103"/>
      </c:scatterChart>
      <c:valAx>
        <c:axId val="166389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∆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P^2 (bar^2)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97103"/>
        <c:crosses val="autoZero"/>
        <c:crossBetween val="midCat"/>
      </c:valAx>
      <c:valAx>
        <c:axId val="166389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Flowrate(m^3)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89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Well</a:t>
            </a:r>
            <a:r>
              <a:rPr lang="en-US" b="0" baseline="0"/>
              <a:t> Test</a:t>
            </a:r>
            <a:endParaRPr lang="en-US" b="0"/>
          </a:p>
        </c:rich>
      </c:tx>
      <c:layout>
        <c:manualLayout>
          <c:xMode val="edge"/>
          <c:yMode val="edge"/>
          <c:x val="0.39266666666666672"/>
          <c:y val="2.445842068483578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well_test_VFP!$D$7:$D$27</c:f>
              <c:numCache>
                <c:formatCode>0</c:formatCode>
                <c:ptCount val="21"/>
                <c:pt idx="0">
                  <c:v>0</c:v>
                </c:pt>
                <c:pt idx="1">
                  <c:v>269503.21354412253</c:v>
                </c:pt>
                <c:pt idx="2">
                  <c:v>427700.09523733711</c:v>
                </c:pt>
                <c:pt idx="3">
                  <c:v>550871.38168855675</c:v>
                </c:pt>
                <c:pt idx="4">
                  <c:v>654388.36038056237</c:v>
                </c:pt>
                <c:pt idx="5">
                  <c:v>744545.7692566691</c:v>
                </c:pt>
                <c:pt idx="6">
                  <c:v>824596.71998078329</c:v>
                </c:pt>
                <c:pt idx="7">
                  <c:v>896436.02036538592</c:v>
                </c:pt>
                <c:pt idx="8">
                  <c:v>961246.13176699274</c:v>
                </c:pt>
                <c:pt idx="9">
                  <c:v>1019795.8288170644</c:v>
                </c:pt>
                <c:pt idx="10">
                  <c:v>1072597.011427236</c:v>
                </c:pt>
                <c:pt idx="11">
                  <c:v>1119994.8964076973</c:v>
                </c:pt>
                <c:pt idx="12">
                  <c:v>1162223.0906142602</c:v>
                </c:pt>
                <c:pt idx="13">
                  <c:v>1199438.0730619365</c:v>
                </c:pt>
                <c:pt idx="14">
                  <c:v>1231740.425379971</c:v>
                </c:pt>
                <c:pt idx="15">
                  <c:v>1259186.9693635169</c:v>
                </c:pt>
                <c:pt idx="16">
                  <c:v>1281796.4922882796</c:v>
                </c:pt>
                <c:pt idx="17">
                  <c:v>1299550.942607244</c:v>
                </c:pt>
                <c:pt idx="18">
                  <c:v>1312393.2058382574</c:v>
                </c:pt>
                <c:pt idx="19">
                  <c:v>1320223.2960795225</c:v>
                </c:pt>
                <c:pt idx="20">
                  <c:v>1322891.5977728432</c:v>
                </c:pt>
              </c:numCache>
            </c:numRef>
          </c:xVal>
          <c:yVal>
            <c:numRef>
              <c:f>well_test_VFP!$E$7:$E$27</c:f>
              <c:numCache>
                <c:formatCode>0.0</c:formatCode>
                <c:ptCount val="21"/>
                <c:pt idx="0">
                  <c:v>23.532731681034484</c:v>
                </c:pt>
                <c:pt idx="1">
                  <c:v>57.624254950161635</c:v>
                </c:pt>
                <c:pt idx="2">
                  <c:v>85.94775390625</c:v>
                </c:pt>
                <c:pt idx="3">
                  <c:v>108.30046134159483</c:v>
                </c:pt>
                <c:pt idx="4">
                  <c:v>127.09900323275862</c:v>
                </c:pt>
                <c:pt idx="5">
                  <c:v>143.46204876077587</c:v>
                </c:pt>
                <c:pt idx="6">
                  <c:v>157.99127828663794</c:v>
                </c:pt>
                <c:pt idx="7">
                  <c:v>171.04219423491378</c:v>
                </c:pt>
                <c:pt idx="8">
                  <c:v>182.83656047952587</c:v>
                </c:pt>
                <c:pt idx="9">
                  <c:v>193.51693830818965</c:v>
                </c:pt>
                <c:pt idx="10">
                  <c:v>203.17556236530172</c:v>
                </c:pt>
                <c:pt idx="11">
                  <c:v>211.87223868534483</c:v>
                </c:pt>
                <c:pt idx="12">
                  <c:v>219.64466594827587</c:v>
                </c:pt>
                <c:pt idx="13">
                  <c:v>226.51555765086206</c:v>
                </c:pt>
                <c:pt idx="14">
                  <c:v>232.49700296336206</c:v>
                </c:pt>
                <c:pt idx="15">
                  <c:v>237.59351427801724</c:v>
                </c:pt>
                <c:pt idx="16">
                  <c:v>241.80150525323276</c:v>
                </c:pt>
                <c:pt idx="17">
                  <c:v>245.11240571120689</c:v>
                </c:pt>
                <c:pt idx="18">
                  <c:v>247.51097790948276</c:v>
                </c:pt>
                <c:pt idx="19">
                  <c:v>248.97494612068965</c:v>
                </c:pt>
                <c:pt idx="20">
                  <c:v>249.47412109375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0E6-4874-A09B-846744ECC832}"/>
            </c:ext>
          </c:extLst>
        </c:ser>
        <c:ser>
          <c:idx val="2"/>
          <c:order val="1"/>
          <c:marker>
            <c:symbol val="none"/>
          </c:marker>
          <c:xVal>
            <c:numRef>
              <c:f>well_test_VFP!$D$7:$D$27</c:f>
              <c:numCache>
                <c:formatCode>0</c:formatCode>
                <c:ptCount val="21"/>
                <c:pt idx="0">
                  <c:v>0</c:v>
                </c:pt>
                <c:pt idx="1">
                  <c:v>269503.21354412253</c:v>
                </c:pt>
                <c:pt idx="2">
                  <c:v>427700.09523733711</c:v>
                </c:pt>
                <c:pt idx="3">
                  <c:v>550871.38168855675</c:v>
                </c:pt>
                <c:pt idx="4">
                  <c:v>654388.36038056237</c:v>
                </c:pt>
                <c:pt idx="5">
                  <c:v>744545.7692566691</c:v>
                </c:pt>
                <c:pt idx="6">
                  <c:v>824596.71998078329</c:v>
                </c:pt>
                <c:pt idx="7">
                  <c:v>896436.02036538592</c:v>
                </c:pt>
                <c:pt idx="8">
                  <c:v>961246.13176699274</c:v>
                </c:pt>
                <c:pt idx="9">
                  <c:v>1019795.8288170644</c:v>
                </c:pt>
                <c:pt idx="10">
                  <c:v>1072597.011427236</c:v>
                </c:pt>
                <c:pt idx="11">
                  <c:v>1119994.8964076973</c:v>
                </c:pt>
                <c:pt idx="12">
                  <c:v>1162223.0906142602</c:v>
                </c:pt>
                <c:pt idx="13">
                  <c:v>1199438.0730619365</c:v>
                </c:pt>
                <c:pt idx="14">
                  <c:v>1231740.425379971</c:v>
                </c:pt>
                <c:pt idx="15">
                  <c:v>1259186.9693635169</c:v>
                </c:pt>
                <c:pt idx="16">
                  <c:v>1281796.4922882796</c:v>
                </c:pt>
                <c:pt idx="17">
                  <c:v>1299550.942607244</c:v>
                </c:pt>
                <c:pt idx="18">
                  <c:v>1312393.2058382574</c:v>
                </c:pt>
                <c:pt idx="19">
                  <c:v>1320223.2960795225</c:v>
                </c:pt>
                <c:pt idx="20">
                  <c:v>1322891.5977728432</c:v>
                </c:pt>
              </c:numCache>
            </c:numRef>
          </c:xVal>
          <c:yVal>
            <c:numRef>
              <c:f>well_test_VFP!$F$7:$F$27</c:f>
              <c:numCache>
                <c:formatCode>0.0</c:formatCode>
                <c:ptCount val="21"/>
                <c:pt idx="0">
                  <c:v>47.341165476831897</c:v>
                </c:pt>
                <c:pt idx="1">
                  <c:v>70.450258452316817</c:v>
                </c:pt>
                <c:pt idx="2">
                  <c:v>94.84401939655173</c:v>
                </c:pt>
                <c:pt idx="3">
                  <c:v>115.39161839978448</c:v>
                </c:pt>
                <c:pt idx="4">
                  <c:v>133.13855401400863</c:v>
                </c:pt>
                <c:pt idx="5">
                  <c:v>148.80766769935346</c:v>
                </c:pt>
                <c:pt idx="6">
                  <c:v>162.84327855603448</c:v>
                </c:pt>
                <c:pt idx="7">
                  <c:v>175.52518857758622</c:v>
                </c:pt>
                <c:pt idx="8">
                  <c:v>187.03416285021552</c:v>
                </c:pt>
                <c:pt idx="9">
                  <c:v>197.48824757543105</c:v>
                </c:pt>
                <c:pt idx="10">
                  <c:v>206.96437230603448</c:v>
                </c:pt>
                <c:pt idx="11">
                  <c:v>215.51213968211206</c:v>
                </c:pt>
                <c:pt idx="12">
                  <c:v>223.16239560883622</c:v>
                </c:pt>
                <c:pt idx="13">
                  <c:v>229.93286974676724</c:v>
                </c:pt>
                <c:pt idx="14">
                  <c:v>235.83273841594828</c:v>
                </c:pt>
                <c:pt idx="15">
                  <c:v>240.86235519935346</c:v>
                </c:pt>
                <c:pt idx="16">
                  <c:v>245.01769598599137</c:v>
                </c:pt>
                <c:pt idx="17">
                  <c:v>248.28859105603448</c:v>
                </c:pt>
                <c:pt idx="18">
                  <c:v>250.65884294181035</c:v>
                </c:pt>
                <c:pt idx="19">
                  <c:v>252.10587284482759</c:v>
                </c:pt>
                <c:pt idx="20">
                  <c:v>252.5993063038793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0E6-4874-A09B-846744ECC832}"/>
            </c:ext>
          </c:extLst>
        </c:ser>
        <c:ser>
          <c:idx val="3"/>
          <c:order val="2"/>
          <c:marker>
            <c:symbol val="none"/>
          </c:marker>
          <c:xVal>
            <c:numRef>
              <c:f>well_test_VFP!$D$7:$D$27</c:f>
              <c:numCache>
                <c:formatCode>0</c:formatCode>
                <c:ptCount val="21"/>
                <c:pt idx="0">
                  <c:v>0</c:v>
                </c:pt>
                <c:pt idx="1">
                  <c:v>269503.21354412253</c:v>
                </c:pt>
                <c:pt idx="2">
                  <c:v>427700.09523733711</c:v>
                </c:pt>
                <c:pt idx="3">
                  <c:v>550871.38168855675</c:v>
                </c:pt>
                <c:pt idx="4">
                  <c:v>654388.36038056237</c:v>
                </c:pt>
                <c:pt idx="5">
                  <c:v>744545.7692566691</c:v>
                </c:pt>
                <c:pt idx="6">
                  <c:v>824596.71998078329</c:v>
                </c:pt>
                <c:pt idx="7">
                  <c:v>896436.02036538592</c:v>
                </c:pt>
                <c:pt idx="8">
                  <c:v>961246.13176699274</c:v>
                </c:pt>
                <c:pt idx="9">
                  <c:v>1019795.8288170644</c:v>
                </c:pt>
                <c:pt idx="10">
                  <c:v>1072597.011427236</c:v>
                </c:pt>
                <c:pt idx="11">
                  <c:v>1119994.8964076973</c:v>
                </c:pt>
                <c:pt idx="12">
                  <c:v>1162223.0906142602</c:v>
                </c:pt>
                <c:pt idx="13">
                  <c:v>1199438.0730619365</c:v>
                </c:pt>
                <c:pt idx="14">
                  <c:v>1231740.425379971</c:v>
                </c:pt>
                <c:pt idx="15">
                  <c:v>1259186.9693635169</c:v>
                </c:pt>
                <c:pt idx="16">
                  <c:v>1281796.4922882796</c:v>
                </c:pt>
                <c:pt idx="17">
                  <c:v>1299550.942607244</c:v>
                </c:pt>
                <c:pt idx="18">
                  <c:v>1312393.2058382574</c:v>
                </c:pt>
                <c:pt idx="19">
                  <c:v>1320223.2960795225</c:v>
                </c:pt>
                <c:pt idx="20">
                  <c:v>1322891.5977728432</c:v>
                </c:pt>
              </c:numCache>
            </c:numRef>
          </c:xVal>
          <c:yVal>
            <c:numRef>
              <c:f>well_test_VFP!$G$7:$G$27</c:f>
              <c:numCache>
                <c:formatCode>0.0</c:formatCode>
                <c:ptCount val="21"/>
                <c:pt idx="0">
                  <c:v>71.415880926724142</c:v>
                </c:pt>
                <c:pt idx="1">
                  <c:v>88.151653421336206</c:v>
                </c:pt>
                <c:pt idx="2">
                  <c:v>108.41662176724138</c:v>
                </c:pt>
                <c:pt idx="3">
                  <c:v>126.65017174030173</c:v>
                </c:pt>
                <c:pt idx="4">
                  <c:v>142.92699353448276</c:v>
                </c:pt>
                <c:pt idx="5">
                  <c:v>157.57883216594828</c:v>
                </c:pt>
                <c:pt idx="6">
                  <c:v>170.86902276400863</c:v>
                </c:pt>
                <c:pt idx="7">
                  <c:v>182.98252289870689</c:v>
                </c:pt>
                <c:pt idx="8">
                  <c:v>194.04569639008622</c:v>
                </c:pt>
                <c:pt idx="9">
                  <c:v>204.14274649784483</c:v>
                </c:pt>
                <c:pt idx="10">
                  <c:v>213.32878165409483</c:v>
                </c:pt>
                <c:pt idx="11">
                  <c:v>221.63884024784483</c:v>
                </c:pt>
                <c:pt idx="12">
                  <c:v>229.09371632543105</c:v>
                </c:pt>
                <c:pt idx="13">
                  <c:v>235.70309132543105</c:v>
                </c:pt>
                <c:pt idx="14">
                  <c:v>241.47036637931035</c:v>
                </c:pt>
                <c:pt idx="15">
                  <c:v>246.39301589439654</c:v>
                </c:pt>
                <c:pt idx="16">
                  <c:v>250.46366514008622</c:v>
                </c:pt>
                <c:pt idx="17">
                  <c:v>253.67012392241378</c:v>
                </c:pt>
                <c:pt idx="18">
                  <c:v>255.9948141163793</c:v>
                </c:pt>
                <c:pt idx="19">
                  <c:v>257.41456761853448</c:v>
                </c:pt>
                <c:pt idx="20">
                  <c:v>257.89877424568965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0E6-4874-A09B-846744ECC832}"/>
            </c:ext>
          </c:extLst>
        </c:ser>
        <c:ser>
          <c:idx val="4"/>
          <c:order val="3"/>
          <c:marker>
            <c:symbol val="none"/>
          </c:marker>
          <c:xVal>
            <c:numRef>
              <c:f>well_test_VFP!$D$7:$D$27</c:f>
              <c:numCache>
                <c:formatCode>0</c:formatCode>
                <c:ptCount val="21"/>
                <c:pt idx="0">
                  <c:v>0</c:v>
                </c:pt>
                <c:pt idx="1">
                  <c:v>269503.21354412253</c:v>
                </c:pt>
                <c:pt idx="2">
                  <c:v>427700.09523733711</c:v>
                </c:pt>
                <c:pt idx="3">
                  <c:v>550871.38168855675</c:v>
                </c:pt>
                <c:pt idx="4">
                  <c:v>654388.36038056237</c:v>
                </c:pt>
                <c:pt idx="5">
                  <c:v>744545.7692566691</c:v>
                </c:pt>
                <c:pt idx="6">
                  <c:v>824596.71998078329</c:v>
                </c:pt>
                <c:pt idx="7">
                  <c:v>896436.02036538592</c:v>
                </c:pt>
                <c:pt idx="8">
                  <c:v>961246.13176699274</c:v>
                </c:pt>
                <c:pt idx="9">
                  <c:v>1019795.8288170644</c:v>
                </c:pt>
                <c:pt idx="10">
                  <c:v>1072597.011427236</c:v>
                </c:pt>
                <c:pt idx="11">
                  <c:v>1119994.8964076973</c:v>
                </c:pt>
                <c:pt idx="12">
                  <c:v>1162223.0906142602</c:v>
                </c:pt>
                <c:pt idx="13">
                  <c:v>1199438.0730619365</c:v>
                </c:pt>
                <c:pt idx="14">
                  <c:v>1231740.425379971</c:v>
                </c:pt>
                <c:pt idx="15">
                  <c:v>1259186.9693635169</c:v>
                </c:pt>
                <c:pt idx="16">
                  <c:v>1281796.4922882796</c:v>
                </c:pt>
                <c:pt idx="17">
                  <c:v>1299550.942607244</c:v>
                </c:pt>
                <c:pt idx="18">
                  <c:v>1312393.2058382574</c:v>
                </c:pt>
                <c:pt idx="19">
                  <c:v>1320223.2960795225</c:v>
                </c:pt>
                <c:pt idx="20">
                  <c:v>1322891.5977728432</c:v>
                </c:pt>
              </c:numCache>
            </c:numRef>
          </c:xVal>
          <c:yVal>
            <c:numRef>
              <c:f>well_test_VFP!$H$7:$H$27</c:f>
              <c:numCache>
                <c:formatCode>0.0</c:formatCode>
                <c:ptCount val="21"/>
                <c:pt idx="0">
                  <c:v>95.719069908405174</c:v>
                </c:pt>
                <c:pt idx="1">
                  <c:v>108.54471982758621</c:v>
                </c:pt>
                <c:pt idx="2">
                  <c:v>125.34501279633621</c:v>
                </c:pt>
                <c:pt idx="3">
                  <c:v>141.27141702586206</c:v>
                </c:pt>
                <c:pt idx="4">
                  <c:v>155.94164197198276</c:v>
                </c:pt>
                <c:pt idx="5">
                  <c:v>169.4182718211207</c:v>
                </c:pt>
                <c:pt idx="6">
                  <c:v>181.81522764008622</c:v>
                </c:pt>
                <c:pt idx="7">
                  <c:v>193.22998046875</c:v>
                </c:pt>
                <c:pt idx="8">
                  <c:v>203.73440867456895</c:v>
                </c:pt>
                <c:pt idx="9">
                  <c:v>213.37789601293105</c:v>
                </c:pt>
                <c:pt idx="10">
                  <c:v>222.19187769396552</c:v>
                </c:pt>
                <c:pt idx="11">
                  <c:v>230.1943359375</c:v>
                </c:pt>
                <c:pt idx="12">
                  <c:v>237.39382408405172</c:v>
                </c:pt>
                <c:pt idx="13">
                  <c:v>243.79205953663794</c:v>
                </c:pt>
                <c:pt idx="14">
                  <c:v>249.38567483836206</c:v>
                </c:pt>
                <c:pt idx="15">
                  <c:v>254.16732893318965</c:v>
                </c:pt>
                <c:pt idx="16">
                  <c:v>258.12621228448273</c:v>
                </c:pt>
                <c:pt idx="17">
                  <c:v>261.24730603448273</c:v>
                </c:pt>
                <c:pt idx="18">
                  <c:v>263.51171875</c:v>
                </c:pt>
                <c:pt idx="19">
                  <c:v>264.89523841594826</c:v>
                </c:pt>
                <c:pt idx="20">
                  <c:v>265.3671875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0E6-4874-A09B-846744ECC832}"/>
            </c:ext>
          </c:extLst>
        </c:ser>
        <c:ser>
          <c:idx val="5"/>
          <c:order val="4"/>
          <c:marker>
            <c:symbol val="none"/>
          </c:marker>
          <c:xVal>
            <c:numRef>
              <c:f>well_test_VFP!$D$7:$D$27</c:f>
              <c:numCache>
                <c:formatCode>0</c:formatCode>
                <c:ptCount val="21"/>
                <c:pt idx="0">
                  <c:v>0</c:v>
                </c:pt>
                <c:pt idx="1">
                  <c:v>269503.21354412253</c:v>
                </c:pt>
                <c:pt idx="2">
                  <c:v>427700.09523733711</c:v>
                </c:pt>
                <c:pt idx="3">
                  <c:v>550871.38168855675</c:v>
                </c:pt>
                <c:pt idx="4">
                  <c:v>654388.36038056237</c:v>
                </c:pt>
                <c:pt idx="5">
                  <c:v>744545.7692566691</c:v>
                </c:pt>
                <c:pt idx="6">
                  <c:v>824596.71998078329</c:v>
                </c:pt>
                <c:pt idx="7">
                  <c:v>896436.02036538592</c:v>
                </c:pt>
                <c:pt idx="8">
                  <c:v>961246.13176699274</c:v>
                </c:pt>
                <c:pt idx="9">
                  <c:v>1019795.8288170644</c:v>
                </c:pt>
                <c:pt idx="10">
                  <c:v>1072597.011427236</c:v>
                </c:pt>
                <c:pt idx="11">
                  <c:v>1119994.8964076973</c:v>
                </c:pt>
                <c:pt idx="12">
                  <c:v>1162223.0906142602</c:v>
                </c:pt>
                <c:pt idx="13">
                  <c:v>1199438.0730619365</c:v>
                </c:pt>
                <c:pt idx="14">
                  <c:v>1231740.425379971</c:v>
                </c:pt>
                <c:pt idx="15">
                  <c:v>1259186.9693635169</c:v>
                </c:pt>
                <c:pt idx="16">
                  <c:v>1281796.4922882796</c:v>
                </c:pt>
                <c:pt idx="17">
                  <c:v>1299550.942607244</c:v>
                </c:pt>
                <c:pt idx="18">
                  <c:v>1312393.2058382574</c:v>
                </c:pt>
                <c:pt idx="19">
                  <c:v>1320223.2960795225</c:v>
                </c:pt>
                <c:pt idx="20">
                  <c:v>1322891.5977728432</c:v>
                </c:pt>
              </c:numCache>
            </c:numRef>
          </c:xVal>
          <c:yVal>
            <c:numRef>
              <c:f>well_test_VFP!$I$7:$I$27</c:f>
              <c:numCache>
                <c:formatCode>0.0</c:formatCode>
                <c:ptCount val="21"/>
                <c:pt idx="0">
                  <c:v>120.17421538254311</c:v>
                </c:pt>
                <c:pt idx="1">
                  <c:v>130.44418440193965</c:v>
                </c:pt>
                <c:pt idx="2">
                  <c:v>144.5436422413793</c:v>
                </c:pt>
                <c:pt idx="3">
                  <c:v>158.42677464978448</c:v>
                </c:pt>
                <c:pt idx="4">
                  <c:v>171.55507475754311</c:v>
                </c:pt>
                <c:pt idx="5">
                  <c:v>183.84183054956895</c:v>
                </c:pt>
                <c:pt idx="6">
                  <c:v>195.2995016163793</c:v>
                </c:pt>
                <c:pt idx="7">
                  <c:v>205.95881600215517</c:v>
                </c:pt>
                <c:pt idx="8">
                  <c:v>215.84678071120689</c:v>
                </c:pt>
                <c:pt idx="9">
                  <c:v>224.98147898706895</c:v>
                </c:pt>
                <c:pt idx="10">
                  <c:v>233.3723733836207</c:v>
                </c:pt>
                <c:pt idx="11">
                  <c:v>241.02161907327587</c:v>
                </c:pt>
                <c:pt idx="12">
                  <c:v>247.92594962284483</c:v>
                </c:pt>
                <c:pt idx="13">
                  <c:v>254.07832704741378</c:v>
                </c:pt>
                <c:pt idx="14">
                  <c:v>259.46864897629308</c:v>
                </c:pt>
                <c:pt idx="15">
                  <c:v>264.08459051724139</c:v>
                </c:pt>
                <c:pt idx="16">
                  <c:v>267.91170528017244</c:v>
                </c:pt>
                <c:pt idx="17">
                  <c:v>270.93214574353448</c:v>
                </c:pt>
                <c:pt idx="18">
                  <c:v>273.12526939655174</c:v>
                </c:pt>
                <c:pt idx="19">
                  <c:v>274.46595501077587</c:v>
                </c:pt>
                <c:pt idx="20">
                  <c:v>274.92328933189657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0E6-4874-A09B-846744ECC832}"/>
            </c:ext>
          </c:extLst>
        </c:ser>
        <c:ser>
          <c:idx val="6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well_test_VFP!$A$7:$A$10</c:f>
              <c:numCache>
                <c:formatCode>General</c:formatCode>
                <c:ptCount val="4"/>
                <c:pt idx="0">
                  <c:v>250000</c:v>
                </c:pt>
                <c:pt idx="1">
                  <c:v>500000</c:v>
                </c:pt>
                <c:pt idx="2">
                  <c:v>750000</c:v>
                </c:pt>
                <c:pt idx="3">
                  <c:v>1000000</c:v>
                </c:pt>
              </c:numCache>
            </c:numRef>
          </c:xVal>
          <c:yVal>
            <c:numRef>
              <c:f>well_test_VFP!$B$7:$B$10</c:f>
              <c:numCache>
                <c:formatCode>0.0</c:formatCode>
                <c:ptCount val="4"/>
                <c:pt idx="0">
                  <c:v>291.30079018654919</c:v>
                </c:pt>
                <c:pt idx="1">
                  <c:v>265.91741799999028</c:v>
                </c:pt>
                <c:pt idx="2">
                  <c:v>227.77141696663895</c:v>
                </c:pt>
                <c:pt idx="3">
                  <c:v>173.04268223820105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0E6-4874-A09B-846744ECC832}"/>
            </c:ext>
          </c:extLst>
        </c:ser>
        <c:ser>
          <c:idx val="0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well_test_VFP!$A$16:$A$19</c:f>
              <c:numCache>
                <c:formatCode>General</c:formatCode>
                <c:ptCount val="4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</c:numCache>
            </c:numRef>
          </c:xVal>
          <c:yVal>
            <c:numRef>
              <c:f>well_test_VFP!$B$16:$B$19</c:f>
              <c:numCache>
                <c:formatCode>0.0</c:formatCode>
                <c:ptCount val="4"/>
                <c:pt idx="0">
                  <c:v>291.30079018654919</c:v>
                </c:pt>
                <c:pt idx="1">
                  <c:v>265.91741799999028</c:v>
                </c:pt>
                <c:pt idx="2">
                  <c:v>227.77141696663895</c:v>
                </c:pt>
                <c:pt idx="3">
                  <c:v>173.04268223820105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0E6-4874-A09B-846744ECC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412863"/>
        <c:axId val="1801421503"/>
      </c:scatterChart>
      <c:valAx>
        <c:axId val="1801412863"/>
        <c:scaling>
          <c:orientation val="minMax"/>
          <c:max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Flowrate</a:t>
                </a:r>
                <a:r>
                  <a:rPr lang="en-US" b="0" baseline="0"/>
                  <a:t> (m^3)</a:t>
                </a:r>
                <a:endParaRPr lang="en-US" b="0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421503"/>
        <c:crosses val="autoZero"/>
        <c:crossBetween val="midCat"/>
      </c:valAx>
      <c:valAx>
        <c:axId val="180142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Pwf(bara)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4128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Production</a:t>
            </a:r>
            <a:r>
              <a:rPr lang="en-US" baseline="0"/>
              <a:t> History of Merlin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699475065616798E-2"/>
                  <c:y val="-0.4188779527559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prod_data!$G$10:$G$33</c:f>
              <c:numCache>
                <c:formatCode>0.00</c:formatCode>
                <c:ptCount val="24"/>
                <c:pt idx="0">
                  <c:v>0</c:v>
                </c:pt>
                <c:pt idx="1">
                  <c:v>93.398699616161721</c:v>
                </c:pt>
                <c:pt idx="2">
                  <c:v>112.18348413961107</c:v>
                </c:pt>
                <c:pt idx="3">
                  <c:v>140.27603437787351</c:v>
                </c:pt>
                <c:pt idx="4">
                  <c:v>311.9268335076186</c:v>
                </c:pt>
                <c:pt idx="5">
                  <c:v>319.17319163624359</c:v>
                </c:pt>
                <c:pt idx="6">
                  <c:v>351.3166193793312</c:v>
                </c:pt>
                <c:pt idx="7">
                  <c:v>676.83256215254596</c:v>
                </c:pt>
                <c:pt idx="8">
                  <c:v>704.65134153338465</c:v>
                </c:pt>
                <c:pt idx="9">
                  <c:v>705.53714944413468</c:v>
                </c:pt>
                <c:pt idx="10">
                  <c:v>715.80166608413469</c:v>
                </c:pt>
                <c:pt idx="11">
                  <c:v>751.15686426575917</c:v>
                </c:pt>
                <c:pt idx="12">
                  <c:v>868.21197580258422</c:v>
                </c:pt>
                <c:pt idx="13">
                  <c:v>890.52524736795908</c:v>
                </c:pt>
                <c:pt idx="14">
                  <c:v>920.5952306808656</c:v>
                </c:pt>
                <c:pt idx="15">
                  <c:v>923.40988700924083</c:v>
                </c:pt>
                <c:pt idx="16">
                  <c:v>939.9011550437408</c:v>
                </c:pt>
                <c:pt idx="17">
                  <c:v>1014.6946283841594</c:v>
                </c:pt>
                <c:pt idx="18">
                  <c:v>1147.3079275034513</c:v>
                </c:pt>
                <c:pt idx="19">
                  <c:v>1151.933197503326</c:v>
                </c:pt>
                <c:pt idx="20">
                  <c:v>1176.1943029766312</c:v>
                </c:pt>
                <c:pt idx="21">
                  <c:v>1414.3663755274099</c:v>
                </c:pt>
                <c:pt idx="22">
                  <c:v>1530.408237912985</c:v>
                </c:pt>
                <c:pt idx="23">
                  <c:v>1535.4480701460629</c:v>
                </c:pt>
              </c:numCache>
            </c:numRef>
          </c:xVal>
          <c:yVal>
            <c:numRef>
              <c:f>prod_data!$J$10:$J$33</c:f>
              <c:numCache>
                <c:formatCode>General</c:formatCode>
                <c:ptCount val="24"/>
                <c:pt idx="0">
                  <c:v>267.56467142469734</c:v>
                </c:pt>
                <c:pt idx="1">
                  <c:v>257.78793016923947</c:v>
                </c:pt>
                <c:pt idx="2">
                  <c:v>252.421892278363</c:v>
                </c:pt>
                <c:pt idx="3">
                  <c:v>251.19701086008368</c:v>
                </c:pt>
                <c:pt idx="4">
                  <c:v>236.21275854015533</c:v>
                </c:pt>
                <c:pt idx="5">
                  <c:v>214.99037401954118</c:v>
                </c:pt>
                <c:pt idx="6">
                  <c:v>212.47603862085211</c:v>
                </c:pt>
                <c:pt idx="7">
                  <c:v>187.6021063949249</c:v>
                </c:pt>
                <c:pt idx="8">
                  <c:v>188.261616992048</c:v>
                </c:pt>
                <c:pt idx="9">
                  <c:v>196.21172586235352</c:v>
                </c:pt>
                <c:pt idx="10">
                  <c:v>183.2608629362399</c:v>
                </c:pt>
                <c:pt idx="11">
                  <c:v>175.70445077031314</c:v>
                </c:pt>
                <c:pt idx="12">
                  <c:v>162.7596324196324</c:v>
                </c:pt>
                <c:pt idx="13">
                  <c:v>186.46872123576196</c:v>
                </c:pt>
                <c:pt idx="14">
                  <c:v>162.47173598007529</c:v>
                </c:pt>
                <c:pt idx="15">
                  <c:v>140.95685284085639</c:v>
                </c:pt>
                <c:pt idx="16">
                  <c:v>162.71005796080968</c:v>
                </c:pt>
                <c:pt idx="17">
                  <c:v>132.61312626857551</c:v>
                </c:pt>
                <c:pt idx="18">
                  <c:v>124.01243471613718</c:v>
                </c:pt>
                <c:pt idx="19">
                  <c:v>124.28421806101858</c:v>
                </c:pt>
                <c:pt idx="20">
                  <c:v>112.3229476398194</c:v>
                </c:pt>
                <c:pt idx="21">
                  <c:v>78.672728443922864</c:v>
                </c:pt>
                <c:pt idx="22">
                  <c:v>48.972454584906828</c:v>
                </c:pt>
                <c:pt idx="23">
                  <c:v>79.967836511997206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20-46F5-9A01-C8319166A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272319"/>
        <c:axId val="1670273759"/>
      </c:scatterChart>
      <c:valAx>
        <c:axId val="167027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Gas</a:t>
                </a:r>
                <a:r>
                  <a:rPr lang="en-US" baseline="0"/>
                  <a:t> Production (Mm^3)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73759"/>
        <c:crosses val="autoZero"/>
        <c:crossBetween val="midCat"/>
      </c:valAx>
      <c:valAx>
        <c:axId val="167027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P/Z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27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601980</xdr:colOff>
      <xdr:row>29</xdr:row>
      <xdr:rowOff>171450</xdr:rowOff>
    </xdr:from>
    <xdr:to>
      <xdr:col>30</xdr:col>
      <xdr:colOff>15240</xdr:colOff>
      <xdr:row>40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918A70C-5794-0F12-5F0A-7AE7171B5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647700</xdr:colOff>
      <xdr:row>31</xdr:row>
      <xdr:rowOff>3810</xdr:rowOff>
    </xdr:from>
    <xdr:to>
      <xdr:col>22</xdr:col>
      <xdr:colOff>7620</xdr:colOff>
      <xdr:row>40</xdr:row>
      <xdr:rowOff>167640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3AAC37-1722-AE06-291E-48BE5FB18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</xdr:colOff>
      <xdr:row>37</xdr:row>
      <xdr:rowOff>3810</xdr:rowOff>
    </xdr:from>
    <xdr:to>
      <xdr:col>14</xdr:col>
      <xdr:colOff>0</xdr:colOff>
      <xdr:row>49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AD4B23-1ECB-5456-C9B3-74E5001DA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49</xdr:row>
      <xdr:rowOff>129540</xdr:rowOff>
    </xdr:from>
    <xdr:to>
      <xdr:col>14</xdr:col>
      <xdr:colOff>15240</xdr:colOff>
      <xdr:row>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0A2EE-3582-D911-7ED2-A8FC3690D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647700</xdr:colOff>
      <xdr:row>42</xdr:row>
      <xdr:rowOff>53340</xdr:rowOff>
    </xdr:from>
    <xdr:to>
      <xdr:col>22</xdr:col>
      <xdr:colOff>0</xdr:colOff>
      <xdr:row>52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F2F489-C4F1-4F0D-4597-5B015C44F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40</xdr:row>
      <xdr:rowOff>171450</xdr:rowOff>
    </xdr:from>
    <xdr:to>
      <xdr:col>30</xdr:col>
      <xdr:colOff>7620</xdr:colOff>
      <xdr:row>50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7D5E25-EF1A-7D11-FA82-92ACCC9D4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7620</xdr:colOff>
      <xdr:row>52</xdr:row>
      <xdr:rowOff>167640</xdr:rowOff>
    </xdr:from>
    <xdr:to>
      <xdr:col>30</xdr:col>
      <xdr:colOff>30480</xdr:colOff>
      <xdr:row>65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CE3DF4-D725-90B4-7B65-5A85F8BEA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655320</xdr:colOff>
      <xdr:row>54</xdr:row>
      <xdr:rowOff>91440</xdr:rowOff>
    </xdr:from>
    <xdr:to>
      <xdr:col>22</xdr:col>
      <xdr:colOff>0</xdr:colOff>
      <xdr:row>65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ECDEA2-EB54-3F56-F353-D15B4DF57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697230</xdr:colOff>
      <xdr:row>62</xdr:row>
      <xdr:rowOff>83820</xdr:rowOff>
    </xdr:from>
    <xdr:to>
      <xdr:col>14</xdr:col>
      <xdr:colOff>15240</xdr:colOff>
      <xdr:row>76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B4B96D-EC6A-7B3B-35E3-786CA0DA4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11430</xdr:rowOff>
    </xdr:from>
    <xdr:to>
      <xdr:col>17</xdr:col>
      <xdr:colOff>342900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4E951-DAD0-09E1-A1C0-3F7EEEEEB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3</xdr:row>
      <xdr:rowOff>171450</xdr:rowOff>
    </xdr:from>
    <xdr:to>
      <xdr:col>11</xdr:col>
      <xdr:colOff>236220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E0681-C886-762B-17B8-C19CC2B30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236220</xdr:colOff>
      <xdr:row>4</xdr:row>
      <xdr:rowOff>19050</xdr:rowOff>
    </xdr:from>
    <xdr:to>
      <xdr:col>19</xdr:col>
      <xdr:colOff>167640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F356EF-C73D-123C-C33C-14DDA794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350520</xdr:colOff>
      <xdr:row>24</xdr:row>
      <xdr:rowOff>83820</xdr:rowOff>
    </xdr:from>
    <xdr:to>
      <xdr:col>20</xdr:col>
      <xdr:colOff>7620</xdr:colOff>
      <xdr:row>44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E4B1F0-25C0-B992-FCB4-24CBADC76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5</xdr:row>
      <xdr:rowOff>3810</xdr:rowOff>
    </xdr:from>
    <xdr:to>
      <xdr:col>18</xdr:col>
      <xdr:colOff>22860</xdr:colOff>
      <xdr:row>22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C7762-C6DE-3851-E1A9-5CA96A6FA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un Griffiths" id="{7AD5D47C-2EB1-4189-B772-8EA172BF9139}" userId="a6beb1f216e9ad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0-03-24T15:02:01.60" personId="{7AD5D47C-2EB1-4189-B772-8EA172BF9139}" id="{5B60BD95-FCEE-419B-BF8D-78D56DC54302}">
    <text>field cumulative gas production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x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5F85-5A4A-41A4-A1BD-52088718B324}">
  <dimension ref="A1:AD43"/>
  <sheetViews>
    <sheetView workbookViewId="0">
      <selection activeCell="O61" sqref="O61"/>
    </sheetView>
  </sheetViews>
  <sheetFormatPr defaultRowHeight="14.4" x14ac:dyDescent="0.3"/>
  <cols>
    <col min="1" max="3" width="9.6640625" customWidth="1"/>
    <col min="4" max="4" width="11.109375" customWidth="1"/>
    <col min="5" max="5" width="9.6640625" customWidth="1"/>
    <col min="6" max="6" width="10.21875" customWidth="1"/>
    <col min="7" max="7" width="10.5546875" customWidth="1"/>
    <col min="8" max="13" width="9.6640625" customWidth="1"/>
    <col min="14" max="14" width="15.109375" customWidth="1"/>
    <col min="15" max="15" width="9.6640625" customWidth="1"/>
    <col min="19" max="19" width="9.5546875" bestFit="1" customWidth="1"/>
    <col min="22" max="22" width="12.6640625" customWidth="1"/>
    <col min="25" max="25" width="10.77734375" customWidth="1"/>
    <col min="27" max="27" width="10.5546875" bestFit="1" customWidth="1"/>
    <col min="30" max="30" width="12.88671875" customWidth="1"/>
  </cols>
  <sheetData>
    <row r="1" spans="1:30" x14ac:dyDescent="0.3">
      <c r="A1" s="1" t="s">
        <v>21</v>
      </c>
    </row>
    <row r="3" spans="1:30" x14ac:dyDescent="0.3">
      <c r="A3" t="s">
        <v>16</v>
      </c>
      <c r="B3" s="2" t="s">
        <v>17</v>
      </c>
      <c r="C3" s="32" t="s">
        <v>45</v>
      </c>
      <c r="D3" s="32"/>
      <c r="E3" s="32" t="s">
        <v>46</v>
      </c>
      <c r="F3" s="32"/>
      <c r="H3" s="2" t="s">
        <v>22</v>
      </c>
      <c r="I3" s="2" t="s">
        <v>23</v>
      </c>
      <c r="J3" s="2" t="s">
        <v>6</v>
      </c>
      <c r="K3" s="2" t="s">
        <v>5</v>
      </c>
      <c r="L3" s="2"/>
      <c r="M3" s="2"/>
      <c r="N3" s="2"/>
    </row>
    <row r="4" spans="1:30" x14ac:dyDescent="0.3">
      <c r="B4" s="2" t="s">
        <v>1</v>
      </c>
      <c r="C4" s="2" t="s">
        <v>3</v>
      </c>
      <c r="D4" s="2" t="s">
        <v>4</v>
      </c>
      <c r="E4" s="2" t="s">
        <v>3</v>
      </c>
      <c r="F4" s="2" t="s">
        <v>4</v>
      </c>
      <c r="H4" s="2" t="s">
        <v>2</v>
      </c>
      <c r="I4" s="2" t="s">
        <v>2</v>
      </c>
      <c r="J4" s="2"/>
      <c r="K4" s="2"/>
      <c r="L4" s="2"/>
      <c r="M4" s="2"/>
      <c r="N4" s="2"/>
    </row>
    <row r="5" spans="1:30" x14ac:dyDescent="0.3">
      <c r="A5" s="9" t="s">
        <v>27</v>
      </c>
      <c r="B5" s="5">
        <v>26.4</v>
      </c>
      <c r="C5" s="5">
        <v>3007.16</v>
      </c>
      <c r="D5" s="5">
        <v>3055</v>
      </c>
      <c r="E5" s="5">
        <v>3033.56</v>
      </c>
      <c r="F5" s="5">
        <v>3081.4</v>
      </c>
      <c r="H5" s="5">
        <v>47.840000000000146</v>
      </c>
      <c r="I5" s="5">
        <v>44.252000000000137</v>
      </c>
      <c r="J5">
        <v>0.92500000000000004</v>
      </c>
      <c r="K5">
        <v>0.223</v>
      </c>
    </row>
    <row r="6" spans="1:30" x14ac:dyDescent="0.3">
      <c r="A6" s="9" t="s">
        <v>28</v>
      </c>
      <c r="B6" s="5">
        <v>33.200000000000003</v>
      </c>
      <c r="C6" s="5">
        <v>2817.67</v>
      </c>
      <c r="D6" s="5">
        <v>2885.26</v>
      </c>
      <c r="E6" s="5">
        <v>2850.87</v>
      </c>
      <c r="F6" s="5">
        <v>2918.46</v>
      </c>
      <c r="H6" s="5">
        <v>67.590000000000146</v>
      </c>
      <c r="I6" s="5">
        <v>65.359530000000134</v>
      </c>
      <c r="J6">
        <v>0.96699999999999997</v>
      </c>
      <c r="K6">
        <v>0.216</v>
      </c>
    </row>
    <row r="7" spans="1:30" x14ac:dyDescent="0.3">
      <c r="A7" s="9" t="s">
        <v>26</v>
      </c>
      <c r="B7" s="5">
        <v>33.200000000000003</v>
      </c>
      <c r="C7" s="5">
        <v>3014.53</v>
      </c>
      <c r="D7" s="5">
        <v>3096.55</v>
      </c>
      <c r="E7" s="5">
        <v>3047.73</v>
      </c>
      <c r="F7" s="5">
        <v>3129.75</v>
      </c>
      <c r="H7" s="5">
        <v>82.019999999999982</v>
      </c>
      <c r="I7" s="5">
        <v>61.104899999999986</v>
      </c>
      <c r="J7">
        <v>0.745</v>
      </c>
      <c r="K7">
        <v>0.17299999999999999</v>
      </c>
    </row>
    <row r="9" spans="1:30" x14ac:dyDescent="0.3">
      <c r="B9">
        <f>AVERAGE(B5:B7)</f>
        <v>30.933333333333337</v>
      </c>
      <c r="I9" t="s">
        <v>61</v>
      </c>
      <c r="J9">
        <f>AVERAGE(J5:J7)</f>
        <v>0.879</v>
      </c>
      <c r="K9">
        <f>AVERAGE(K5:K7)</f>
        <v>0.20399999999999999</v>
      </c>
    </row>
    <row r="10" spans="1:30" x14ac:dyDescent="0.3">
      <c r="B10">
        <f>_xlfn.STDEV.S(       B5:B7)</f>
        <v>3.9259818304894365</v>
      </c>
      <c r="I10" t="s">
        <v>62</v>
      </c>
      <c r="J10">
        <f>_xlfn.STDEV.S(       J5:J7)</f>
        <v>0.11793218390244467</v>
      </c>
      <c r="K10">
        <f>_xlfn.STDEV.S(       K5:K7)</f>
        <v>2.7073972741361592E-2</v>
      </c>
    </row>
    <row r="11" spans="1:30" x14ac:dyDescent="0.3">
      <c r="C11" t="s">
        <v>74</v>
      </c>
      <c r="D11">
        <v>1627</v>
      </c>
    </row>
    <row r="12" spans="1:30" x14ac:dyDescent="0.3">
      <c r="C12" t="s">
        <v>75</v>
      </c>
      <c r="D12">
        <f>PI()*D11^2</f>
        <v>8316201.0195044959</v>
      </c>
    </row>
    <row r="13" spans="1:30" x14ac:dyDescent="0.3">
      <c r="C13" t="s">
        <v>76</v>
      </c>
      <c r="D13">
        <f>D12*B9</f>
        <v>257247818.2033391</v>
      </c>
    </row>
    <row r="14" spans="1:30" x14ac:dyDescent="0.3">
      <c r="C14" t="s">
        <v>98</v>
      </c>
      <c r="D14">
        <f>VLOOKUP(MDT_data!C29,PVT_data!A9:G33,7)</f>
        <v>304.32716676169389</v>
      </c>
      <c r="H14" s="33" t="s">
        <v>77</v>
      </c>
      <c r="I14" s="33"/>
      <c r="J14" s="33"/>
      <c r="K14" s="33"/>
      <c r="L14" s="33"/>
      <c r="M14" s="30"/>
      <c r="N14" s="30"/>
      <c r="P14" s="32" t="s">
        <v>78</v>
      </c>
      <c r="Q14" s="32"/>
      <c r="R14" s="32"/>
      <c r="S14" s="32"/>
      <c r="T14" s="32"/>
      <c r="U14" s="12"/>
      <c r="V14" s="12"/>
      <c r="X14" s="32" t="s">
        <v>79</v>
      </c>
      <c r="Y14" s="32"/>
      <c r="Z14" s="32"/>
      <c r="AA14" s="32"/>
      <c r="AB14" s="32"/>
    </row>
    <row r="15" spans="1:30" x14ac:dyDescent="0.3">
      <c r="H15" t="s">
        <v>89</v>
      </c>
      <c r="I15" t="s">
        <v>71</v>
      </c>
      <c r="J15" t="s">
        <v>88</v>
      </c>
      <c r="K15" t="s">
        <v>67</v>
      </c>
      <c r="L15" t="s">
        <v>90</v>
      </c>
      <c r="M15" t="s">
        <v>69</v>
      </c>
      <c r="N15" t="s">
        <v>99</v>
      </c>
      <c r="P15" t="s">
        <v>89</v>
      </c>
      <c r="Q15" t="s">
        <v>71</v>
      </c>
      <c r="R15" t="s">
        <v>88</v>
      </c>
      <c r="S15" t="s">
        <v>67</v>
      </c>
      <c r="T15" t="s">
        <v>90</v>
      </c>
      <c r="U15" t="s">
        <v>69</v>
      </c>
      <c r="V15" t="s">
        <v>99</v>
      </c>
      <c r="X15" t="s">
        <v>89</v>
      </c>
      <c r="Y15" t="s">
        <v>71</v>
      </c>
      <c r="Z15" t="s">
        <v>88</v>
      </c>
      <c r="AA15" t="s">
        <v>67</v>
      </c>
      <c r="AB15" t="s">
        <v>90</v>
      </c>
      <c r="AC15" t="s">
        <v>69</v>
      </c>
      <c r="AD15" t="s">
        <v>99</v>
      </c>
    </row>
    <row r="16" spans="1:30" x14ac:dyDescent="0.3">
      <c r="D16" t="s">
        <v>77</v>
      </c>
      <c r="E16" t="s">
        <v>78</v>
      </c>
      <c r="F16" t="s">
        <v>79</v>
      </c>
      <c r="H16">
        <v>0</v>
      </c>
      <c r="I16" s="29">
        <f>D$23</f>
        <v>1000000</v>
      </c>
      <c r="J16">
        <f>K16</f>
        <v>7771645225.1512442</v>
      </c>
      <c r="K16">
        <f>D20</f>
        <v>7771645225.1512442</v>
      </c>
      <c r="L16">
        <v>0</v>
      </c>
      <c r="M16">
        <f>VLOOKUP($D$14*(J16/K16),PVT_data!$G$9:$H$33, 2)</f>
        <v>285</v>
      </c>
      <c r="N16" s="31">
        <f>$D$25-J16*VLOOKUP(M16,PVT_data!$A$9:$E$33,4)/1000000</f>
        <v>0</v>
      </c>
      <c r="P16">
        <v>0</v>
      </c>
      <c r="Q16" s="29">
        <f t="shared" ref="Q16:Q26" si="0">E$23</f>
        <v>928075.27688991057</v>
      </c>
      <c r="R16">
        <f>S16</f>
        <v>5837992324.6304188</v>
      </c>
      <c r="S16" s="29">
        <f>E20</f>
        <v>5837992324.6304188</v>
      </c>
      <c r="T16">
        <v>0</v>
      </c>
      <c r="U16">
        <f>VLOOKUP($D$14*(R16/S16),PVT_data!$G$9:$H$33, 2)</f>
        <v>285</v>
      </c>
      <c r="V16" s="31">
        <f>$E$25-R16*VLOOKUP(U16,PVT_data!$A$9:$E$33,4)/1000000</f>
        <v>0</v>
      </c>
      <c r="X16">
        <v>0</v>
      </c>
      <c r="Y16" s="29">
        <f>F$23</f>
        <v>653363.81883661635</v>
      </c>
      <c r="Z16">
        <f>AA16</f>
        <v>4011412793.9762254</v>
      </c>
      <c r="AA16" s="29">
        <f>F20</f>
        <v>4011412793.9762254</v>
      </c>
      <c r="AB16">
        <v>0</v>
      </c>
      <c r="AC16">
        <f>VLOOKUP($D$14*(Z16/AA16),PVT_data!$G$9:$H$33, 2)</f>
        <v>285</v>
      </c>
      <c r="AD16" s="31">
        <f>$F$25-Z16*VLOOKUP(AC16,PVT_data!$A$9:$E$33,4)/1000000</f>
        <v>0</v>
      </c>
    </row>
    <row r="17" spans="3:30" x14ac:dyDescent="0.3">
      <c r="C17" t="s">
        <v>6</v>
      </c>
      <c r="D17" s="4">
        <f>MIN(1, E17+1.282*J10)</f>
        <v>1</v>
      </c>
      <c r="E17" s="4">
        <f>J9</f>
        <v>0.879</v>
      </c>
      <c r="F17" s="4">
        <f>E17-1.282*J10</f>
        <v>0.72781094023706594</v>
      </c>
      <c r="H17">
        <v>1</v>
      </c>
      <c r="I17" s="29">
        <f t="shared" ref="I17:I26" si="1">D$23</f>
        <v>1000000</v>
      </c>
      <c r="J17" s="29">
        <f>K17-L17</f>
        <v>7406645225.1512442</v>
      </c>
      <c r="K17">
        <f>K16</f>
        <v>7771645225.1512442</v>
      </c>
      <c r="L17" s="29">
        <f>I16*365+L16</f>
        <v>365000000</v>
      </c>
      <c r="M17">
        <f>VLOOKUP($D$14*(J17/K17),PVT_data!$G$9:$H$33, 2)</f>
        <v>255</v>
      </c>
      <c r="N17" s="31">
        <f>$D$25-J17*VLOOKUP(M17,PVT_data!$A$9:$E$33,4)/1000000</f>
        <v>582423.85401966795</v>
      </c>
      <c r="P17">
        <v>1</v>
      </c>
      <c r="Q17" s="29">
        <f t="shared" si="0"/>
        <v>928075.27688991057</v>
      </c>
      <c r="R17" s="29">
        <f>S17-T17</f>
        <v>5499244848.5656013</v>
      </c>
      <c r="S17">
        <f>S16</f>
        <v>5837992324.6304188</v>
      </c>
      <c r="T17" s="29">
        <f>Q16*365+T16</f>
        <v>338747476.06481737</v>
      </c>
      <c r="U17">
        <f>VLOOKUP($D$14*(R17/S17),PVT_data!$G$9:$H$33, 2)</f>
        <v>255</v>
      </c>
      <c r="V17" s="31">
        <f>$E$25-R17*VLOOKUP(U17,PVT_data!$A$9:$E$33,4)/1000000</f>
        <v>456522.39316141815</v>
      </c>
      <c r="X17">
        <v>1</v>
      </c>
      <c r="Y17" s="29">
        <f t="shared" ref="Y17:Y26" si="2">F$23</f>
        <v>653363.81883661635</v>
      </c>
      <c r="Z17" s="29">
        <f>AA17-AB17</f>
        <v>3772935000.1008606</v>
      </c>
      <c r="AA17" s="29">
        <f>AA16</f>
        <v>4011412793.9762254</v>
      </c>
      <c r="AB17" s="29">
        <f>Y16*365+AB16</f>
        <v>238477793.87536496</v>
      </c>
      <c r="AC17">
        <f>VLOOKUP($D$14*(Z17/AA17),PVT_data!$G$9:$H$33, 2)</f>
        <v>255</v>
      </c>
      <c r="AD17" s="31">
        <f>$F$25-Z17*VLOOKUP(AC17,PVT_data!$A$9:$E$33,4)/1000000</f>
        <v>315369.94210852752</v>
      </c>
    </row>
    <row r="18" spans="3:30" x14ac:dyDescent="0.3">
      <c r="C18" t="s">
        <v>80</v>
      </c>
      <c r="D18" s="4">
        <f>E18+1.282*K10</f>
        <v>0.23870883305442556</v>
      </c>
      <c r="E18" s="4">
        <f>K9</f>
        <v>0.20399999999999999</v>
      </c>
      <c r="F18" s="4">
        <f>E18-1.282*K10</f>
        <v>0.16929116694557442</v>
      </c>
      <c r="H18">
        <v>2</v>
      </c>
      <c r="I18" s="29">
        <f t="shared" si="1"/>
        <v>1000000</v>
      </c>
      <c r="J18" s="29">
        <f t="shared" ref="J18:J35" si="3">K18-L18</f>
        <v>7041645225.1512442</v>
      </c>
      <c r="K18">
        <f t="shared" ref="K18:K37" si="4">K17</f>
        <v>7771645225.1512442</v>
      </c>
      <c r="L18" s="29">
        <f t="shared" ref="L18:L37" si="5">I17*365+L17</f>
        <v>730000000</v>
      </c>
      <c r="M18">
        <f>VLOOKUP($D$14*(J18/K18),PVT_data!$G$9:$H$33, 2)</f>
        <v>240</v>
      </c>
      <c r="N18" s="31">
        <f>$D$25-J18*VLOOKUP(M18,PVT_data!$A$9:$E$33,4)/1000000</f>
        <v>876001.91484453739</v>
      </c>
      <c r="P18">
        <v>2</v>
      </c>
      <c r="Q18" s="29">
        <f t="shared" si="0"/>
        <v>928075.27688991057</v>
      </c>
      <c r="R18" s="29">
        <f t="shared" ref="R18:R31" si="6">S18-T18</f>
        <v>5160497372.5007839</v>
      </c>
      <c r="S18">
        <f t="shared" ref="S18:S31" si="7">S17</f>
        <v>5837992324.6304188</v>
      </c>
      <c r="T18" s="29">
        <f t="shared" ref="T18:T31" si="8">Q17*365+T17</f>
        <v>677494952.12963474</v>
      </c>
      <c r="U18">
        <f>VLOOKUP($D$14*(R18/S18),PVT_data!$G$9:$H$33, 2)</f>
        <v>240</v>
      </c>
      <c r="V18" s="31">
        <f>$E$25-R18*VLOOKUP(U18,PVT_data!$A$9:$E$33,4)/1000000</f>
        <v>692653.70138334902</v>
      </c>
      <c r="X18">
        <v>2</v>
      </c>
      <c r="Y18" s="29">
        <f t="shared" si="2"/>
        <v>653363.81883661635</v>
      </c>
      <c r="Z18" s="29">
        <f t="shared" ref="Z18:Z30" si="9">AA18-AB18</f>
        <v>3534457206.2254953</v>
      </c>
      <c r="AA18" s="29">
        <f t="shared" ref="AA18:AA30" si="10">AA17</f>
        <v>4011412793.9762254</v>
      </c>
      <c r="AB18" s="29">
        <f t="shared" ref="AB18:AB30" si="11">Y17*365+AB17</f>
        <v>476955587.75072992</v>
      </c>
      <c r="AC18">
        <f>VLOOKUP($D$14*(Z18/AA18),PVT_data!$G$9:$H$33, 2)</f>
        <v>240</v>
      </c>
      <c r="AD18" s="31">
        <f>$F$25-Z18*VLOOKUP(AC18,PVT_data!$A$9:$E$33,4)/1000000</f>
        <v>479002.14183496905</v>
      </c>
    </row>
    <row r="19" spans="3:30" x14ac:dyDescent="0.3">
      <c r="C19" t="s">
        <v>32</v>
      </c>
      <c r="D19" s="4">
        <f>'Saturation Calculation'!H14</f>
        <v>0.49901645543499734</v>
      </c>
      <c r="E19" s="4">
        <f>D19</f>
        <v>0.49901645543499734</v>
      </c>
      <c r="F19" s="4">
        <f>E19</f>
        <v>0.49901645543499734</v>
      </c>
      <c r="H19">
        <v>3</v>
      </c>
      <c r="I19" s="29">
        <f t="shared" si="1"/>
        <v>1000000</v>
      </c>
      <c r="J19" s="29">
        <f t="shared" si="3"/>
        <v>6676645225.1512442</v>
      </c>
      <c r="K19">
        <f t="shared" si="4"/>
        <v>7771645225.1512442</v>
      </c>
      <c r="L19" s="29">
        <f t="shared" si="5"/>
        <v>1095000000</v>
      </c>
      <c r="M19">
        <f>VLOOKUP($D$14*(J19/K19),PVT_data!$G$9:$H$33, 2)</f>
        <v>225</v>
      </c>
      <c r="N19" s="31">
        <f>$D$25-J19*VLOOKUP(M19,PVT_data!$A$9:$E$33,4)/1000000</f>
        <v>1131914.4384210964</v>
      </c>
      <c r="P19">
        <v>3</v>
      </c>
      <c r="Q19" s="29">
        <f t="shared" si="0"/>
        <v>928075.27688991057</v>
      </c>
      <c r="R19" s="29">
        <f t="shared" si="6"/>
        <v>4821749896.4359665</v>
      </c>
      <c r="S19">
        <f t="shared" si="7"/>
        <v>5837992324.6304188</v>
      </c>
      <c r="T19" s="29">
        <f t="shared" si="8"/>
        <v>1016242428.194452</v>
      </c>
      <c r="U19">
        <f>VLOOKUP($D$14*(R19/S19),PVT_data!$G$9:$H$33, 2)</f>
        <v>210</v>
      </c>
      <c r="V19" s="31">
        <f>$E$25-R19*VLOOKUP(U19,PVT_data!$A$9:$E$33,4)/1000000</f>
        <v>998508.25466393074</v>
      </c>
      <c r="X19">
        <v>3</v>
      </c>
      <c r="Y19" s="29">
        <f t="shared" si="2"/>
        <v>653363.81883661635</v>
      </c>
      <c r="Z19" s="29">
        <f t="shared" si="9"/>
        <v>3295979412.3501306</v>
      </c>
      <c r="AA19" s="29">
        <f t="shared" si="10"/>
        <v>4011412793.9762254</v>
      </c>
      <c r="AB19" s="29">
        <f t="shared" si="11"/>
        <v>715433381.62609482</v>
      </c>
      <c r="AC19">
        <f>VLOOKUP($D$14*(Z19/AA19),PVT_data!$G$9:$H$33, 2)</f>
        <v>210</v>
      </c>
      <c r="AD19" s="31">
        <f>$F$25-Z19*VLOOKUP(AC19,PVT_data!$A$9:$E$33,4)/1000000</f>
        <v>689928.83579996647</v>
      </c>
    </row>
    <row r="20" spans="3:30" x14ac:dyDescent="0.3">
      <c r="C20" t="s">
        <v>67</v>
      </c>
      <c r="D20" s="31">
        <f>$D$13*D17*D18*(1-D19)/MDT_data!G4</f>
        <v>7771645225.1512442</v>
      </c>
      <c r="E20" s="31">
        <f>$D$13*E17*E18*(1-E19)/MDT_data!G4</f>
        <v>5837992324.6304188</v>
      </c>
      <c r="F20" s="31">
        <f>$D$13*F17*F18*(1-F19)/MDT_data!G4</f>
        <v>4011412793.9762254</v>
      </c>
      <c r="H20">
        <v>4</v>
      </c>
      <c r="I20" s="29">
        <f t="shared" si="1"/>
        <v>1000000</v>
      </c>
      <c r="J20" s="29">
        <f t="shared" si="3"/>
        <v>6311645225.1512442</v>
      </c>
      <c r="K20">
        <f t="shared" si="4"/>
        <v>7771645225.1512442</v>
      </c>
      <c r="L20" s="29">
        <f t="shared" si="5"/>
        <v>1460000000</v>
      </c>
      <c r="M20">
        <f>VLOOKUP($D$14*(J20/K20),PVT_data!$G$9:$H$33, 2)</f>
        <v>210</v>
      </c>
      <c r="N20" s="31">
        <f>$D$25-J20*VLOOKUP(M20,PVT_data!$A$9:$E$33,4)/1000000</f>
        <v>1353174.5909993455</v>
      </c>
      <c r="P20">
        <v>4</v>
      </c>
      <c r="Q20" s="29">
        <f t="shared" si="0"/>
        <v>928075.27688991057</v>
      </c>
      <c r="R20" s="29">
        <f t="shared" si="6"/>
        <v>4483002420.3711491</v>
      </c>
      <c r="S20">
        <f t="shared" si="7"/>
        <v>5837992324.6304188</v>
      </c>
      <c r="T20" s="29">
        <f t="shared" si="8"/>
        <v>1354989904.2592695</v>
      </c>
      <c r="U20">
        <f>VLOOKUP($D$14*(R20/S20),PVT_data!$G$9:$H$33, 2)</f>
        <v>195</v>
      </c>
      <c r="V20" s="31">
        <f>$E$25-R20*VLOOKUP(U20,PVT_data!$A$9:$E$33,4)/1000000</f>
        <v>1155664.1287494642</v>
      </c>
      <c r="X20">
        <v>4</v>
      </c>
      <c r="Y20" s="29">
        <f t="shared" si="2"/>
        <v>653363.81883661635</v>
      </c>
      <c r="Z20" s="29">
        <f t="shared" si="9"/>
        <v>3057501618.4747658</v>
      </c>
      <c r="AA20" s="29">
        <f t="shared" si="10"/>
        <v>4011412793.9762254</v>
      </c>
      <c r="AB20" s="29">
        <f t="shared" si="11"/>
        <v>953911175.50145984</v>
      </c>
      <c r="AC20">
        <f>VLOOKUP($D$14*(Z20/AA20),PVT_data!$G$9:$H$33, 2)</f>
        <v>195</v>
      </c>
      <c r="AD20" s="31">
        <f>$F$25-Z20*VLOOKUP(AC20,PVT_data!$A$9:$E$33,4)/1000000</f>
        <v>798775.79007534485</v>
      </c>
    </row>
    <row r="21" spans="3:30" x14ac:dyDescent="0.3">
      <c r="C21" t="s">
        <v>68</v>
      </c>
      <c r="D21" s="4">
        <f>prod_data!N28</f>
        <v>0.73167693951985269</v>
      </c>
      <c r="E21" s="4">
        <f>D21</f>
        <v>0.73167693951985269</v>
      </c>
      <c r="F21" s="4">
        <f>E21</f>
        <v>0.73167693951985269</v>
      </c>
      <c r="H21">
        <v>5</v>
      </c>
      <c r="I21" s="29">
        <f t="shared" si="1"/>
        <v>1000000</v>
      </c>
      <c r="J21" s="29">
        <f t="shared" si="3"/>
        <v>5946645225.1512442</v>
      </c>
      <c r="K21">
        <f t="shared" si="4"/>
        <v>7771645225.1512442</v>
      </c>
      <c r="L21" s="29">
        <f t="shared" si="5"/>
        <v>1825000000</v>
      </c>
      <c r="M21">
        <f>VLOOKUP($D$14*(J21/K21),PVT_data!$G$9:$H$33, 2)</f>
        <v>195</v>
      </c>
      <c r="N21" s="31">
        <f>$D$25-J21*VLOOKUP(M21,PVT_data!$A$9:$E$33,4)/1000000</f>
        <v>1542795.5388292847</v>
      </c>
      <c r="P21">
        <v>5</v>
      </c>
      <c r="Q21" s="29">
        <f t="shared" si="0"/>
        <v>928075.27688991057</v>
      </c>
      <c r="R21" s="29">
        <f t="shared" si="6"/>
        <v>4144254944.3063316</v>
      </c>
      <c r="S21">
        <f t="shared" si="7"/>
        <v>5837992324.6304188</v>
      </c>
      <c r="T21" s="29">
        <f t="shared" si="8"/>
        <v>1693737380.3240869</v>
      </c>
      <c r="U21">
        <f>VLOOKUP($D$14*(R21/S21),PVT_data!$G$9:$H$33, 2)</f>
        <v>180</v>
      </c>
      <c r="V21" s="31">
        <f>$E$25-R21*VLOOKUP(U21,PVT_data!$A$9:$E$33,4)/1000000</f>
        <v>1289103.5100926054</v>
      </c>
      <c r="X21">
        <v>5</v>
      </c>
      <c r="Y21" s="29">
        <f t="shared" si="2"/>
        <v>653363.81883661635</v>
      </c>
      <c r="Z21" s="29">
        <f t="shared" si="9"/>
        <v>2819023824.5994005</v>
      </c>
      <c r="AA21" s="29">
        <f t="shared" si="10"/>
        <v>4011412793.9762254</v>
      </c>
      <c r="AB21" s="29">
        <f t="shared" si="11"/>
        <v>1192388969.3768249</v>
      </c>
      <c r="AC21">
        <f>VLOOKUP($D$14*(Z21/AA21),PVT_data!$G$9:$H$33, 2)</f>
        <v>180</v>
      </c>
      <c r="AD21" s="31">
        <f>$F$25-Z21*VLOOKUP(AC21,PVT_data!$A$9:$E$33,4)/1000000</f>
        <v>891197.48354794539</v>
      </c>
    </row>
    <row r="22" spans="3:30" x14ac:dyDescent="0.3">
      <c r="C22" t="s">
        <v>87</v>
      </c>
      <c r="D22" s="31">
        <f>D21*D20</f>
        <v>5686333593.3727388</v>
      </c>
      <c r="E22" s="31">
        <f>E21*E20</f>
        <v>4271524357.0259752</v>
      </c>
      <c r="F22" s="31">
        <f>F21*F20</f>
        <v>2935058236.2473059</v>
      </c>
      <c r="H22">
        <v>6</v>
      </c>
      <c r="I22" s="29">
        <f t="shared" si="1"/>
        <v>1000000</v>
      </c>
      <c r="J22" s="29">
        <f t="shared" si="3"/>
        <v>5581645225.1512442</v>
      </c>
      <c r="K22">
        <f t="shared" si="4"/>
        <v>7771645225.1512442</v>
      </c>
      <c r="L22" s="29">
        <f t="shared" si="5"/>
        <v>2190000000</v>
      </c>
      <c r="M22">
        <f>VLOOKUP($D$14*(J22/K22),PVT_data!$G$9:$H$33, 2)</f>
        <v>180</v>
      </c>
      <c r="N22" s="31">
        <f>$D$25-J22*VLOOKUP(M22,PVT_data!$A$9:$E$33,4)/1000000</f>
        <v>1703790.448160914</v>
      </c>
      <c r="P22">
        <v>6</v>
      </c>
      <c r="Q22" s="29">
        <f t="shared" si="0"/>
        <v>928075.27688991057</v>
      </c>
      <c r="R22" s="29">
        <f t="shared" si="6"/>
        <v>3805507468.2415142</v>
      </c>
      <c r="S22">
        <f t="shared" si="7"/>
        <v>5837992324.6304188</v>
      </c>
      <c r="T22" s="29">
        <f t="shared" si="8"/>
        <v>2032484856.3889043</v>
      </c>
      <c r="U22">
        <f>VLOOKUP($D$14*(R22/S22),PVT_data!$G$9:$H$33, 2)</f>
        <v>165</v>
      </c>
      <c r="V22" s="31">
        <f>$E$25-R22*VLOOKUP(U22,PVT_data!$A$9:$E$33,4)/1000000</f>
        <v>1401622.8437951389</v>
      </c>
      <c r="X22">
        <v>6</v>
      </c>
      <c r="Y22" s="29">
        <f t="shared" si="2"/>
        <v>653363.81883661635</v>
      </c>
      <c r="Z22" s="29">
        <f t="shared" si="9"/>
        <v>2580546030.7240353</v>
      </c>
      <c r="AA22" s="29">
        <f t="shared" si="10"/>
        <v>4011412793.9762254</v>
      </c>
      <c r="AB22" s="29">
        <f t="shared" si="11"/>
        <v>1430866763.2521899</v>
      </c>
      <c r="AC22">
        <f>VLOOKUP($D$14*(Z22/AA22),PVT_data!$G$9:$H$33, 2)</f>
        <v>165</v>
      </c>
      <c r="AD22" s="31">
        <f>$F$25-Z22*VLOOKUP(AC22,PVT_data!$A$9:$E$33,4)/1000000</f>
        <v>969162.61002565781</v>
      </c>
    </row>
    <row r="23" spans="3:30" x14ac:dyDescent="0.3">
      <c r="C23" t="s">
        <v>96</v>
      </c>
      <c r="D23" s="31">
        <v>1000000</v>
      </c>
      <c r="E23" s="31">
        <v>928075.27688991057</v>
      </c>
      <c r="F23" s="31">
        <v>653363.81883661635</v>
      </c>
      <c r="H23">
        <v>7</v>
      </c>
      <c r="I23" s="29">
        <f t="shared" si="1"/>
        <v>1000000</v>
      </c>
      <c r="J23" s="29">
        <f t="shared" si="3"/>
        <v>5216645225.1512442</v>
      </c>
      <c r="K23">
        <f t="shared" si="4"/>
        <v>7771645225.1512442</v>
      </c>
      <c r="L23" s="29">
        <f t="shared" si="5"/>
        <v>2555000000</v>
      </c>
      <c r="M23">
        <f>VLOOKUP($D$14*(J23/K23),PVT_data!$G$9:$H$33, 2)</f>
        <v>165</v>
      </c>
      <c r="N23" s="31">
        <f>$D$25-J23*VLOOKUP(M23,PVT_data!$A$9:$E$33,4)/1000000</f>
        <v>1839172.4852442336</v>
      </c>
      <c r="P23">
        <v>7</v>
      </c>
      <c r="Q23" s="29">
        <f t="shared" si="0"/>
        <v>928075.27688991057</v>
      </c>
      <c r="R23" s="29">
        <f t="shared" si="6"/>
        <v>3466759992.1766973</v>
      </c>
      <c r="S23">
        <f t="shared" si="7"/>
        <v>5837992324.6304188</v>
      </c>
      <c r="T23" s="29">
        <f t="shared" si="8"/>
        <v>2371232332.4537215</v>
      </c>
      <c r="U23">
        <f>VLOOKUP($D$14*(R23/S23),PVT_data!$G$9:$H$33, 2)</f>
        <v>150</v>
      </c>
      <c r="V23" s="31">
        <f>$E$25-R23*VLOOKUP(U23,PVT_data!$A$9:$E$33,4)/1000000</f>
        <v>1496018.5749588488</v>
      </c>
      <c r="X23">
        <v>7</v>
      </c>
      <c r="Y23" s="29">
        <f t="shared" si="2"/>
        <v>653363.81883661635</v>
      </c>
      <c r="Z23" s="29">
        <f t="shared" si="9"/>
        <v>2342068236.8486705</v>
      </c>
      <c r="AA23" s="29">
        <f t="shared" si="10"/>
        <v>4011412793.9762254</v>
      </c>
      <c r="AB23" s="29">
        <f t="shared" si="11"/>
        <v>1669344557.1275549</v>
      </c>
      <c r="AC23">
        <f>VLOOKUP($D$14*(Z23/AA23),PVT_data!$G$9:$H$33, 2)</f>
        <v>150</v>
      </c>
      <c r="AD23" s="31">
        <f>$F$25-Z23*VLOOKUP(AC23,PVT_data!$A$9:$E$33,4)/1000000</f>
        <v>1034639.8633163717</v>
      </c>
    </row>
    <row r="24" spans="3:30" x14ac:dyDescent="0.3">
      <c r="C24" t="s">
        <v>97</v>
      </c>
      <c r="D24" s="29">
        <f>(D23-200000)/(J26-(D20-D22))*365</f>
        <v>0.14339497268537726</v>
      </c>
      <c r="E24" s="29">
        <f>(E23-200000)/(R26-(E20-E22))*365</f>
        <v>0.30060245166522231</v>
      </c>
      <c r="F24" s="29">
        <f>(F23-200000)/(Z26-(F20-F22))*365</f>
        <v>0.30071546197285515</v>
      </c>
      <c r="H24">
        <v>8</v>
      </c>
      <c r="I24" s="29">
        <f t="shared" si="1"/>
        <v>1000000</v>
      </c>
      <c r="J24" s="29">
        <f t="shared" si="3"/>
        <v>4851645225.1512442</v>
      </c>
      <c r="K24">
        <f t="shared" si="4"/>
        <v>7771645225.1512442</v>
      </c>
      <c r="L24" s="29">
        <f t="shared" si="5"/>
        <v>2920000000</v>
      </c>
      <c r="M24">
        <f>VLOOKUP($D$14*(J24/K24),PVT_data!$G$9:$H$33, 2)</f>
        <v>165</v>
      </c>
      <c r="N24" s="31">
        <f>$D$25-J24*VLOOKUP(M24,PVT_data!$A$9:$E$33,4)/1000000</f>
        <v>1903834.3796192335</v>
      </c>
      <c r="P24">
        <v>8</v>
      </c>
      <c r="Q24" s="29">
        <f t="shared" si="0"/>
        <v>928075.27688991057</v>
      </c>
      <c r="R24" s="29">
        <f t="shared" si="6"/>
        <v>3128012516.1118798</v>
      </c>
      <c r="S24">
        <f t="shared" si="7"/>
        <v>5837992324.6304188</v>
      </c>
      <c r="T24" s="29">
        <f t="shared" si="8"/>
        <v>2709979808.518539</v>
      </c>
      <c r="U24">
        <f>VLOOKUP($D$14*(R24/S24),PVT_data!$G$9:$H$33, 2)</f>
        <v>135</v>
      </c>
      <c r="V24" s="31">
        <f>$E$25-R24*VLOOKUP(U24,PVT_data!$A$9:$E$33,4)/1000000</f>
        <v>1575087.1486855189</v>
      </c>
      <c r="X24">
        <v>8</v>
      </c>
      <c r="Y24" s="29">
        <f t="shared" si="2"/>
        <v>653363.81883661635</v>
      </c>
      <c r="Z24" s="29">
        <f t="shared" si="9"/>
        <v>2103590442.9733055</v>
      </c>
      <c r="AA24" s="29">
        <f t="shared" si="10"/>
        <v>4011412793.9762254</v>
      </c>
      <c r="AB24" s="29">
        <f t="shared" si="11"/>
        <v>1907822351.0029199</v>
      </c>
      <c r="AC24">
        <f>VLOOKUP($D$14*(Z24/AA24),PVT_data!$G$9:$H$33, 2)</f>
        <v>135</v>
      </c>
      <c r="AD24" s="31">
        <f>$F$25-Z24*VLOOKUP(AC24,PVT_data!$A$9:$E$33,4)/1000000</f>
        <v>1089597.9372279765</v>
      </c>
    </row>
    <row r="25" spans="3:30" x14ac:dyDescent="0.3">
      <c r="C25" t="s">
        <v>100</v>
      </c>
      <c r="D25" s="31">
        <f>D20*VLOOKUP(MDT_data!$C$29,PVT_data!$A$9:$E$33,4)/1000000</f>
        <v>2763331.8346704743</v>
      </c>
      <c r="E25" s="31">
        <f>E20*VLOOKUP(MDT_data!$C$29,PVT_data!$A$9:$E$33,4)/1000000</f>
        <v>2075790.8491504991</v>
      </c>
      <c r="F25" s="31">
        <f>F20*VLOOKUP(MDT_data!$C$29,PVT_data!$A$9:$E$33,4)/1000000</f>
        <v>1426321.5000763512</v>
      </c>
      <c r="H25">
        <v>9</v>
      </c>
      <c r="I25" s="29">
        <f t="shared" si="1"/>
        <v>1000000</v>
      </c>
      <c r="J25" s="29">
        <f t="shared" si="3"/>
        <v>4486645225.1512442</v>
      </c>
      <c r="K25">
        <f t="shared" si="4"/>
        <v>7771645225.1512442</v>
      </c>
      <c r="L25" s="29">
        <f t="shared" si="5"/>
        <v>3285000000</v>
      </c>
      <c r="M25">
        <f>VLOOKUP($D$14*(J25/K25),PVT_data!$G$9:$H$33, 2)</f>
        <v>150</v>
      </c>
      <c r="N25" s="31">
        <f>$D$25-J25*VLOOKUP(M25,PVT_data!$A$9:$E$33,4)/1000000</f>
        <v>2012996.5038292431</v>
      </c>
      <c r="P25">
        <v>9</v>
      </c>
      <c r="Q25" s="29">
        <f t="shared" si="0"/>
        <v>928075.27688991057</v>
      </c>
      <c r="R25" s="29">
        <f t="shared" si="6"/>
        <v>2789265040.0470624</v>
      </c>
      <c r="S25">
        <f t="shared" si="7"/>
        <v>5837992324.6304188</v>
      </c>
      <c r="T25" s="29">
        <f t="shared" si="8"/>
        <v>3048727284.5833564</v>
      </c>
      <c r="U25">
        <f>VLOOKUP($D$14*(R25/S25),PVT_data!$G$9:$H$33, 2)</f>
        <v>120</v>
      </c>
      <c r="V25" s="31">
        <f>$E$25-R25*VLOOKUP(U25,PVT_data!$A$9:$E$33,4)/1000000</f>
        <v>1641625.0100769335</v>
      </c>
      <c r="X25">
        <v>9</v>
      </c>
      <c r="Y25" s="29">
        <f t="shared" si="2"/>
        <v>653363.81883661635</v>
      </c>
      <c r="Z25" s="29">
        <f t="shared" si="9"/>
        <v>1865112649.0979404</v>
      </c>
      <c r="AA25" s="29">
        <f t="shared" si="10"/>
        <v>4011412793.9762254</v>
      </c>
      <c r="AB25" s="29">
        <f t="shared" si="11"/>
        <v>2146300144.8782849</v>
      </c>
      <c r="AC25">
        <f>VLOOKUP($D$14*(Z25/AA25),PVT_data!$G$9:$H$33, 2)</f>
        <v>120</v>
      </c>
      <c r="AD25" s="31">
        <f>$F$25-Z25*VLOOKUP(AC25,PVT_data!$A$9:$E$33,4)/1000000</f>
        <v>1136005.5255683623</v>
      </c>
    </row>
    <row r="26" spans="3:30" x14ac:dyDescent="0.3">
      <c r="H26">
        <v>10</v>
      </c>
      <c r="I26" s="29">
        <f t="shared" si="1"/>
        <v>1000000</v>
      </c>
      <c r="J26" s="29">
        <f t="shared" si="3"/>
        <v>4121645225.1512442</v>
      </c>
      <c r="K26">
        <f t="shared" si="4"/>
        <v>7771645225.1512442</v>
      </c>
      <c r="L26" s="29">
        <f t="shared" si="5"/>
        <v>3650000000</v>
      </c>
      <c r="M26">
        <f>VLOOKUP($D$14*(J26/K26),PVT_data!$G$9:$H$33, 2)</f>
        <v>135</v>
      </c>
      <c r="N26" s="31">
        <f>$D$25-J26*VLOOKUP(M26,PVT_data!$A$9:$E$33,4)/1000000</f>
        <v>2103576.4770409428</v>
      </c>
      <c r="P26">
        <v>10</v>
      </c>
      <c r="Q26" s="29">
        <f t="shared" si="0"/>
        <v>928075.27688991057</v>
      </c>
      <c r="R26" s="29">
        <f t="shared" si="6"/>
        <v>2450517563.982245</v>
      </c>
      <c r="S26">
        <f t="shared" si="7"/>
        <v>5837992324.6304188</v>
      </c>
      <c r="T26" s="29">
        <f t="shared" si="8"/>
        <v>3387474760.6481738</v>
      </c>
      <c r="U26">
        <f>VLOOKUP($D$14*(R26/S26),PVT_data!$G$9:$H$33, 2)</f>
        <v>105</v>
      </c>
      <c r="V26" s="31">
        <f>$E$25-R26*VLOOKUP(U26,PVT_data!$A$9:$E$33,4)/1000000</f>
        <v>1698428.6042348766</v>
      </c>
      <c r="X26">
        <v>10</v>
      </c>
      <c r="Y26" s="29">
        <f t="shared" si="2"/>
        <v>653363.81883661635</v>
      </c>
      <c r="Z26" s="29">
        <f t="shared" si="9"/>
        <v>1626634855.2225757</v>
      </c>
      <c r="AA26" s="29">
        <f t="shared" si="10"/>
        <v>4011412793.9762254</v>
      </c>
      <c r="AB26" s="29">
        <f t="shared" si="11"/>
        <v>2384777938.7536497</v>
      </c>
      <c r="AC26">
        <f>VLOOKUP($D$14*(Z26/AA26),PVT_data!$G$9:$H$33, 2)</f>
        <v>105</v>
      </c>
      <c r="AD26" s="31">
        <f>$F$25-Z26*VLOOKUP(AC26,PVT_data!$A$9:$E$33,4)/1000000</f>
        <v>1175831.322145418</v>
      </c>
    </row>
    <row r="27" spans="3:30" x14ac:dyDescent="0.3">
      <c r="H27">
        <v>11</v>
      </c>
      <c r="I27" s="29">
        <f>I26*(1-D$24)</f>
        <v>856605.02731462277</v>
      </c>
      <c r="J27" s="29">
        <f t="shared" si="3"/>
        <v>3756645225.1512442</v>
      </c>
      <c r="K27">
        <f t="shared" si="4"/>
        <v>7771645225.1512442</v>
      </c>
      <c r="L27" s="29">
        <f t="shared" si="5"/>
        <v>4015000000</v>
      </c>
      <c r="M27">
        <f>VLOOKUP($D$14*(J27/K27),PVT_data!$G$9:$H$33, 2)</f>
        <v>120</v>
      </c>
      <c r="N27" s="31">
        <f>$D$25-J27*VLOOKUP(M27,PVT_data!$A$9:$E$33,4)/1000000</f>
        <v>2178587.4655043324</v>
      </c>
      <c r="P27">
        <v>11</v>
      </c>
      <c r="Q27" s="29">
        <f>Q26*(1-E$24)</f>
        <v>649093.57332692342</v>
      </c>
      <c r="R27" s="29">
        <f t="shared" si="6"/>
        <v>2111770087.9174275</v>
      </c>
      <c r="S27">
        <f t="shared" si="7"/>
        <v>5837992324.6304188</v>
      </c>
      <c r="T27" s="29">
        <f t="shared" si="8"/>
        <v>3726222236.7129912</v>
      </c>
      <c r="U27">
        <f>VLOOKUP($D$14*(R27/S27),PVT_data!$G$9:$H$33, 2)</f>
        <v>90</v>
      </c>
      <c r="V27" s="31">
        <f>$E$25-R27*VLOOKUP(U27,PVT_data!$A$9:$E$33,4)/1000000</f>
        <v>1748294.3762611325</v>
      </c>
      <c r="X27">
        <v>11</v>
      </c>
      <c r="Y27" s="29">
        <f>Y26*(1-F$24)</f>
        <v>456887.21621881443</v>
      </c>
      <c r="Z27" s="29">
        <f t="shared" si="9"/>
        <v>1388157061.3472109</v>
      </c>
      <c r="AA27" s="29">
        <f t="shared" si="10"/>
        <v>4011412793.9762254</v>
      </c>
      <c r="AB27" s="29">
        <f t="shared" si="11"/>
        <v>2623255732.6290145</v>
      </c>
      <c r="AC27">
        <f>VLOOKUP($D$14*(Z27/AA27),PVT_data!$G$9:$H$33, 2)</f>
        <v>90</v>
      </c>
      <c r="AD27" s="31">
        <f>$F$25-Z27*VLOOKUP(AC27,PVT_data!$A$9:$E$33,4)/1000000</f>
        <v>1211044.0207670338</v>
      </c>
    </row>
    <row r="28" spans="3:30" x14ac:dyDescent="0.3">
      <c r="H28">
        <v>12</v>
      </c>
      <c r="I28" s="29">
        <f t="shared" ref="I28:I35" si="12">I27*(1-D$24)</f>
        <v>733772.17282068555</v>
      </c>
      <c r="J28" s="29">
        <f t="shared" si="3"/>
        <v>3443984390.181407</v>
      </c>
      <c r="K28">
        <f t="shared" si="4"/>
        <v>7771645225.1512442</v>
      </c>
      <c r="L28" s="29">
        <f t="shared" si="5"/>
        <v>4327660834.9698372</v>
      </c>
      <c r="M28">
        <f>VLOOKUP($D$14*(J28/K28),PVT_data!$G$9:$H$33, 2)</f>
        <v>105</v>
      </c>
      <c r="N28" s="31">
        <f>$D$25-J28*VLOOKUP(M28,PVT_data!$A$9:$E$33,4)/1000000</f>
        <v>2232982.7769713178</v>
      </c>
      <c r="P28">
        <v>12</v>
      </c>
      <c r="Q28" s="29">
        <f>Q27*(1-E$24)</f>
        <v>453974.45382471045</v>
      </c>
      <c r="R28" s="29">
        <f t="shared" si="6"/>
        <v>1874850933.6531005</v>
      </c>
      <c r="S28">
        <f t="shared" si="7"/>
        <v>5837992324.6304188</v>
      </c>
      <c r="T28" s="29">
        <f t="shared" si="8"/>
        <v>3963141390.9773183</v>
      </c>
      <c r="U28">
        <f>VLOOKUP($D$14*(R28/S28),PVT_data!$G$9:$H$33, 2)</f>
        <v>75</v>
      </c>
      <c r="V28" s="31">
        <f>$E$25-R28*VLOOKUP(U28,PVT_data!$A$9:$E$33,4)/1000000</f>
        <v>1777836.0234288478</v>
      </c>
      <c r="X28">
        <v>12</v>
      </c>
      <c r="Y28" s="29">
        <f>Y27*(1-F$24)</f>
        <v>319494.16592408187</v>
      </c>
      <c r="Z28" s="29">
        <f t="shared" si="9"/>
        <v>1221393227.4273438</v>
      </c>
      <c r="AA28" s="29">
        <f t="shared" si="10"/>
        <v>4011412793.9762254</v>
      </c>
      <c r="AB28" s="29">
        <f t="shared" si="11"/>
        <v>2790019566.5488815</v>
      </c>
      <c r="AC28">
        <f>VLOOKUP($D$14*(Z28/AA28),PVT_data!$G$9:$H$33, 2)</f>
        <v>75</v>
      </c>
      <c r="AD28" s="31">
        <f>$F$25-Z28*VLOOKUP(AC28,PVT_data!$A$9:$E$33,4)/1000000</f>
        <v>1232215.3982612963</v>
      </c>
    </row>
    <row r="29" spans="3:30" x14ac:dyDescent="0.3">
      <c r="H29">
        <v>13</v>
      </c>
      <c r="I29" s="29">
        <f t="shared" si="12"/>
        <v>628552.9321417734</v>
      </c>
      <c r="J29" s="29">
        <f t="shared" si="3"/>
        <v>3176157547.1018572</v>
      </c>
      <c r="K29">
        <f t="shared" si="4"/>
        <v>7771645225.1512442</v>
      </c>
      <c r="L29" s="29">
        <f t="shared" si="5"/>
        <v>4595487678.049387</v>
      </c>
      <c r="M29">
        <f>VLOOKUP($D$14*(J29/K29),PVT_data!$G$9:$H$33, 2)</f>
        <v>105</v>
      </c>
      <c r="N29" s="31">
        <f>$D$25-J29*VLOOKUP(M29,PVT_data!$A$9:$E$33,4)/1000000</f>
        <v>2274226.2025393113</v>
      </c>
      <c r="P29">
        <v>13</v>
      </c>
      <c r="Q29" s="29">
        <f>Q28*(1-E$24)</f>
        <v>317508.6200116222</v>
      </c>
      <c r="R29" s="29">
        <f t="shared" si="6"/>
        <v>1709150258.007081</v>
      </c>
      <c r="S29">
        <f t="shared" si="7"/>
        <v>5837992324.6304188</v>
      </c>
      <c r="T29" s="29">
        <f t="shared" si="8"/>
        <v>4128842066.6233377</v>
      </c>
      <c r="U29">
        <f>VLOOKUP($D$14*(R29/S29),PVT_data!$G$9:$H$33, 2)</f>
        <v>75</v>
      </c>
      <c r="V29" s="31">
        <f>$E$25-R29*VLOOKUP(U29,PVT_data!$A$9:$E$33,4)/1000000</f>
        <v>1804169.48549128</v>
      </c>
      <c r="X29">
        <v>13</v>
      </c>
      <c r="Y29" s="29">
        <f>Y28*(1-F$24)</f>
        <v>223417.33022058956</v>
      </c>
      <c r="Z29" s="29">
        <f t="shared" si="9"/>
        <v>1104777856.8650541</v>
      </c>
      <c r="AA29" s="29">
        <f t="shared" si="10"/>
        <v>4011412793.9762254</v>
      </c>
      <c r="AB29" s="29">
        <f t="shared" si="11"/>
        <v>2906634937.1111712</v>
      </c>
      <c r="AC29">
        <f>VLOOKUP($D$14*(Z29/AA29),PVT_data!$G$9:$H$33, 2)</f>
        <v>75</v>
      </c>
      <c r="AD29" s="31">
        <f>$F$25-Z29*VLOOKUP(AC29,PVT_data!$A$9:$E$33,4)/1000000</f>
        <v>1250748.1316048752</v>
      </c>
    </row>
    <row r="30" spans="3:30" x14ac:dyDescent="0.3">
      <c r="H30">
        <v>14</v>
      </c>
      <c r="I30" s="29">
        <f t="shared" si="12"/>
        <v>538421.60160598997</v>
      </c>
      <c r="J30" s="29">
        <f t="shared" si="3"/>
        <v>2946735726.8701096</v>
      </c>
      <c r="K30">
        <f t="shared" si="4"/>
        <v>7771645225.1512442</v>
      </c>
      <c r="L30" s="29">
        <f t="shared" si="5"/>
        <v>4824909498.2811346</v>
      </c>
      <c r="M30">
        <f>VLOOKUP($D$14*(J30/K30),PVT_data!$G$9:$H$33, 2)</f>
        <v>90</v>
      </c>
      <c r="N30" s="31">
        <f>$D$25-J30*VLOOKUP(M30,PVT_data!$A$9:$E$33,4)/1000000</f>
        <v>2306347.6380438674</v>
      </c>
      <c r="P30">
        <v>14</v>
      </c>
      <c r="Q30" s="29">
        <f>Q29*(1-E$24)</f>
        <v>222064.7504112871</v>
      </c>
      <c r="R30" s="29">
        <f t="shared" si="6"/>
        <v>1593259611.7028389</v>
      </c>
      <c r="S30">
        <f t="shared" si="7"/>
        <v>5837992324.6304188</v>
      </c>
      <c r="T30" s="29">
        <f t="shared" si="8"/>
        <v>4244732712.9275799</v>
      </c>
      <c r="U30">
        <f>VLOOKUP($D$14*(R30/S30),PVT_data!$G$9:$H$33, 2)</f>
        <v>75</v>
      </c>
      <c r="V30" s="31">
        <f>$E$25-R30*VLOOKUP(U30,PVT_data!$A$9:$E$33,4)/1000000</f>
        <v>1822587.0442969119</v>
      </c>
      <c r="X30">
        <v>14</v>
      </c>
      <c r="Y30" s="29">
        <f>Y29*(1-F$24)</f>
        <v>156232.28455056302</v>
      </c>
      <c r="Z30" s="29">
        <f t="shared" si="9"/>
        <v>1023230531.3345389</v>
      </c>
      <c r="AA30" s="29">
        <f t="shared" si="10"/>
        <v>4011412793.9762254</v>
      </c>
      <c r="AB30" s="29">
        <f t="shared" si="11"/>
        <v>2988182262.6416864</v>
      </c>
      <c r="AC30">
        <f>VLOOKUP($D$14*(Z30/AA30),PVT_data!$G$9:$H$33, 2)</f>
        <v>60</v>
      </c>
      <c r="AD30" s="31">
        <f>$F$25-Z30*VLOOKUP(AC30,PVT_data!$A$9:$E$33,4)/1000000</f>
        <v>1256962.5219130463</v>
      </c>
    </row>
    <row r="31" spans="3:30" x14ac:dyDescent="0.3">
      <c r="H31">
        <v>15</v>
      </c>
      <c r="I31" s="29">
        <f t="shared" si="12"/>
        <v>461214.65075048193</v>
      </c>
      <c r="J31" s="29">
        <f t="shared" si="3"/>
        <v>2750211842.2839231</v>
      </c>
      <c r="K31">
        <f t="shared" si="4"/>
        <v>7771645225.1512442</v>
      </c>
      <c r="L31" s="29">
        <f t="shared" si="5"/>
        <v>5021433382.867321</v>
      </c>
      <c r="M31">
        <f>VLOOKUP($D$14*(J31/K31),PVT_data!$G$9:$H$33, 2)</f>
        <v>90</v>
      </c>
      <c r="N31" s="31">
        <f>$D$25-J31*VLOOKUP(M31,PVT_data!$A$9:$E$33,4)/1000000</f>
        <v>2336824.8568513202</v>
      </c>
      <c r="P31">
        <v>15</v>
      </c>
      <c r="Q31" s="29">
        <f>Q30*(1-E$24)</f>
        <v>155311.54200922849</v>
      </c>
      <c r="R31" s="29">
        <f t="shared" si="6"/>
        <v>1512205977.8027191</v>
      </c>
      <c r="S31">
        <f t="shared" si="7"/>
        <v>5837992324.6304188</v>
      </c>
      <c r="T31" s="29">
        <f t="shared" si="8"/>
        <v>4325786346.8276997</v>
      </c>
      <c r="U31">
        <f>VLOOKUP($D$14*(R31/S31),PVT_data!$G$9:$H$33, 2)</f>
        <v>60</v>
      </c>
      <c r="V31" s="31">
        <f>$E$25-R31*VLOOKUP(U31,PVT_data!$A$9:$E$33,4)/1000000</f>
        <v>1825499.5889404598</v>
      </c>
      <c r="Y31" s="29"/>
      <c r="Z31" s="29"/>
      <c r="AB31" s="29"/>
    </row>
    <row r="32" spans="3:30" x14ac:dyDescent="0.3">
      <c r="H32">
        <v>16</v>
      </c>
      <c r="I32" s="29">
        <f t="shared" si="12"/>
        <v>395078.78850402078</v>
      </c>
      <c r="J32" s="29">
        <f t="shared" si="3"/>
        <v>2581868494.7599974</v>
      </c>
      <c r="K32">
        <f t="shared" si="4"/>
        <v>7771645225.1512442</v>
      </c>
      <c r="L32" s="29">
        <f t="shared" si="5"/>
        <v>5189776730.3912468</v>
      </c>
      <c r="M32">
        <f>VLOOKUP($D$14*(J32/K32),PVT_data!$G$9:$H$33, 2)</f>
        <v>90</v>
      </c>
      <c r="N32" s="31">
        <f>$D$25-J32*VLOOKUP(M32,PVT_data!$A$9:$E$33,4)/1000000</f>
        <v>2362931.7957003517</v>
      </c>
      <c r="Q32" s="29"/>
      <c r="R32" s="29"/>
      <c r="T32" s="29"/>
    </row>
    <row r="33" spans="8:26" x14ac:dyDescent="0.3">
      <c r="H33">
        <v>17</v>
      </c>
      <c r="I33" s="29">
        <f t="shared" si="12"/>
        <v>338426.47641791479</v>
      </c>
      <c r="J33" s="29">
        <f t="shared" si="3"/>
        <v>2437664736.9560299</v>
      </c>
      <c r="K33">
        <f t="shared" si="4"/>
        <v>7771645225.1512442</v>
      </c>
      <c r="L33" s="29">
        <f t="shared" si="5"/>
        <v>5333980488.1952143</v>
      </c>
      <c r="M33">
        <f>VLOOKUP($D$14*(J33/K33),PVT_data!$G$9:$H$33, 2)</f>
        <v>75</v>
      </c>
      <c r="N33" s="31">
        <f>$D$25-J33*VLOOKUP(M33,PVT_data!$A$9:$E$33,4)/1000000</f>
        <v>2375933.5840520402</v>
      </c>
      <c r="Q33" s="29"/>
      <c r="R33" s="29"/>
      <c r="T33" s="29"/>
      <c r="U33" s="29"/>
      <c r="V33" s="29"/>
      <c r="Z33" s="29"/>
    </row>
    <row r="34" spans="8:26" x14ac:dyDescent="0.3">
      <c r="H34">
        <v>18</v>
      </c>
      <c r="I34" s="29">
        <f t="shared" si="12"/>
        <v>289897.82107595942</v>
      </c>
      <c r="J34" s="29">
        <f t="shared" si="3"/>
        <v>2314139073.0634909</v>
      </c>
      <c r="K34">
        <f t="shared" si="4"/>
        <v>7771645225.1512442</v>
      </c>
      <c r="L34" s="29">
        <f t="shared" si="5"/>
        <v>5457506152.0877533</v>
      </c>
      <c r="M34">
        <f>VLOOKUP($D$14*(J34/K34),PVT_data!$G$9:$H$33, 2)</f>
        <v>75</v>
      </c>
      <c r="N34" s="31">
        <f>$D$25-J34*VLOOKUP(M34,PVT_data!$A$9:$E$33,4)/1000000</f>
        <v>2395564.5141684623</v>
      </c>
      <c r="Q34" s="29"/>
      <c r="R34" s="29"/>
      <c r="T34" s="29"/>
      <c r="U34" s="29"/>
      <c r="V34" s="29"/>
    </row>
    <row r="35" spans="8:26" x14ac:dyDescent="0.3">
      <c r="H35">
        <v>19</v>
      </c>
      <c r="I35" s="29">
        <f t="shared" si="12"/>
        <v>248327.93094122183</v>
      </c>
      <c r="J35" s="29">
        <f t="shared" si="3"/>
        <v>2208326368.3707657</v>
      </c>
      <c r="K35">
        <f t="shared" si="4"/>
        <v>7771645225.1512442</v>
      </c>
      <c r="L35" s="29">
        <f t="shared" si="5"/>
        <v>5563318856.7804785</v>
      </c>
      <c r="M35">
        <f>VLOOKUP($D$14*(J35/K35),PVT_data!$G$9:$H$33, 2)</f>
        <v>75</v>
      </c>
      <c r="N35" s="31">
        <f>$D$25-J35*VLOOKUP(M35,PVT_data!$A$9:$E$33,4)/1000000</f>
        <v>2412380.4675970515</v>
      </c>
      <c r="Q35" s="29"/>
      <c r="R35" s="29"/>
      <c r="T35" s="29"/>
      <c r="U35" s="29"/>
      <c r="V35" s="29"/>
    </row>
    <row r="36" spans="8:26" x14ac:dyDescent="0.3">
      <c r="H36">
        <v>20</v>
      </c>
      <c r="I36" s="29">
        <f>I35*(1-D$24)</f>
        <v>212718.95406688907</v>
      </c>
      <c r="J36" s="29">
        <f>K36-L36</f>
        <v>2117686673.57722</v>
      </c>
      <c r="K36">
        <f t="shared" si="4"/>
        <v>7771645225.1512442</v>
      </c>
      <c r="L36" s="29">
        <f t="shared" si="5"/>
        <v>5653958551.5740242</v>
      </c>
      <c r="M36">
        <f>VLOOKUP($D$14*(J36/K36),PVT_data!$G$9:$H$33, 2)</f>
        <v>75</v>
      </c>
      <c r="N36" s="31">
        <f>$D$25-J36*VLOOKUP(M36,PVT_data!$A$9:$E$33,4)/1000000</f>
        <v>2426785.0978430696</v>
      </c>
      <c r="P36" s="5"/>
      <c r="Q36" s="29"/>
      <c r="R36" s="29"/>
    </row>
    <row r="37" spans="8:26" x14ac:dyDescent="0.3">
      <c r="H37">
        <v>21</v>
      </c>
      <c r="I37" s="29">
        <f>I36*(1-D$24)</f>
        <v>182216.1254588055</v>
      </c>
      <c r="J37" s="29">
        <f>K37-L37</f>
        <v>2040044255.3428059</v>
      </c>
      <c r="K37">
        <f t="shared" si="4"/>
        <v>7771645225.1512442</v>
      </c>
      <c r="L37" s="29">
        <f t="shared" si="5"/>
        <v>5731600969.8084383</v>
      </c>
      <c r="M37">
        <f>VLOOKUP($D$14*(J37/K37),PVT_data!$G$9:$H$33, 2)</f>
        <v>60</v>
      </c>
      <c r="N37" s="31">
        <f>$D$25-J37*VLOOKUP(M37,PVT_data!$A$9:$E$33,4)/1000000</f>
        <v>2425675.9497916652</v>
      </c>
      <c r="P37" s="5"/>
      <c r="Q37" s="29"/>
      <c r="R37" s="29"/>
    </row>
    <row r="38" spans="8:26" x14ac:dyDescent="0.3">
      <c r="I38" s="29"/>
      <c r="J38" s="29"/>
      <c r="L38" s="29"/>
      <c r="M38" s="29"/>
      <c r="N38" s="29"/>
      <c r="P38" s="5"/>
      <c r="Q38" s="29"/>
      <c r="R38" s="29"/>
    </row>
    <row r="39" spans="8:26" x14ac:dyDescent="0.3">
      <c r="I39" s="29"/>
      <c r="J39" s="29"/>
      <c r="L39" s="29"/>
      <c r="M39" s="29"/>
      <c r="N39" s="29"/>
      <c r="P39" s="5"/>
      <c r="Q39" s="29"/>
      <c r="R39" s="29"/>
    </row>
    <row r="40" spans="8:26" x14ac:dyDescent="0.3">
      <c r="J40" s="29"/>
      <c r="L40" s="29"/>
      <c r="M40" s="29"/>
      <c r="N40" s="29"/>
      <c r="P40" s="5"/>
      <c r="Q40" s="29"/>
      <c r="R40" s="29"/>
    </row>
    <row r="41" spans="8:26" x14ac:dyDescent="0.3">
      <c r="J41" s="29"/>
      <c r="L41" s="29"/>
      <c r="M41" s="29"/>
      <c r="N41" s="29"/>
      <c r="P41" s="5"/>
      <c r="Q41" s="29"/>
      <c r="R41" s="29"/>
    </row>
    <row r="42" spans="8:26" x14ac:dyDescent="0.3">
      <c r="I42" s="29"/>
      <c r="J42" s="29"/>
      <c r="L42" s="29"/>
      <c r="M42" s="29"/>
      <c r="N42" s="29"/>
      <c r="P42" s="5"/>
      <c r="Q42" s="29"/>
      <c r="R42" s="29"/>
    </row>
    <row r="43" spans="8:26" x14ac:dyDescent="0.3">
      <c r="I43" s="29"/>
      <c r="J43" s="29"/>
      <c r="L43" s="29"/>
      <c r="M43" s="29"/>
      <c r="N43" s="29"/>
      <c r="P43" s="5"/>
      <c r="Q43" s="29"/>
      <c r="R43" s="29"/>
    </row>
  </sheetData>
  <mergeCells count="5">
    <mergeCell ref="C3:D3"/>
    <mergeCell ref="E3:F3"/>
    <mergeCell ref="P14:T14"/>
    <mergeCell ref="H14:L14"/>
    <mergeCell ref="X14:AB14"/>
  </mergeCells>
  <hyperlinks>
    <hyperlink ref="H14" r:id="rId1" display="max@" xr:uid="{07BEC514-20CE-4D72-9C0C-D7E085FA0AE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83E0-0EE4-4C70-A1C0-84783A745719}">
  <dimension ref="A1:I14"/>
  <sheetViews>
    <sheetView workbookViewId="0">
      <selection activeCell="H14" sqref="H14"/>
    </sheetView>
  </sheetViews>
  <sheetFormatPr defaultRowHeight="14.4" x14ac:dyDescent="0.3"/>
  <cols>
    <col min="3" max="3" width="12" bestFit="1" customWidth="1"/>
    <col min="8" max="8" width="15.6640625" customWidth="1"/>
  </cols>
  <sheetData>
    <row r="1" spans="1:9" x14ac:dyDescent="0.3">
      <c r="A1" t="s">
        <v>91</v>
      </c>
      <c r="B1" t="s">
        <v>92</v>
      </c>
      <c r="E1" t="s">
        <v>91</v>
      </c>
      <c r="F1" t="s">
        <v>94</v>
      </c>
      <c r="G1" t="s">
        <v>93</v>
      </c>
      <c r="H1" t="s">
        <v>95</v>
      </c>
      <c r="I1" t="s">
        <v>73</v>
      </c>
    </row>
    <row r="2" spans="1:9" x14ac:dyDescent="0.3">
      <c r="A2">
        <v>2825</v>
      </c>
      <c r="B2">
        <v>66384.25</v>
      </c>
      <c r="E2">
        <v>2825</v>
      </c>
      <c r="F2">
        <f>9.8*(E$13-E2)*(1000-I$2)/100000</f>
        <v>21.231765919879354</v>
      </c>
      <c r="G2">
        <f>VLOOKUP(F2,cap_pres!A$5:B$20,2)</f>
        <v>0.2</v>
      </c>
      <c r="H2">
        <f>B2*G2/B$14</f>
        <v>1.1537441936485318E-3</v>
      </c>
      <c r="I2">
        <f>MDT_data!H4</f>
        <v>212.17937217516314</v>
      </c>
    </row>
    <row r="3" spans="1:9" x14ac:dyDescent="0.3">
      <c r="A3">
        <v>2850</v>
      </c>
      <c r="B3">
        <v>358195.97</v>
      </c>
      <c r="C3">
        <f>(A3-A2)*(B3+B2)/2</f>
        <v>5307252.75</v>
      </c>
      <c r="E3">
        <v>2850</v>
      </c>
      <c r="F3">
        <f t="shared" ref="F3:F13" si="0">9.8*(E$13-E3)*(1000-I$2)/100000</f>
        <v>19.301605381708502</v>
      </c>
      <c r="G3">
        <f>VLOOKUP(F3,cap_pres!A$5:B$20,2)</f>
        <v>0.28077524147464394</v>
      </c>
      <c r="H3">
        <f t="shared" ref="H3:H13" si="1">B3*G3/B$14</f>
        <v>8.7396488706325062E-3</v>
      </c>
    </row>
    <row r="4" spans="1:9" x14ac:dyDescent="0.3">
      <c r="A4">
        <v>2875</v>
      </c>
      <c r="B4">
        <v>588982.54</v>
      </c>
      <c r="C4">
        <f t="shared" ref="C4:C13" si="2">(A4-A3)*(B4+B3)/2</f>
        <v>11839731.375</v>
      </c>
      <c r="E4">
        <v>2875</v>
      </c>
      <c r="F4">
        <f t="shared" si="0"/>
        <v>17.371444843537653</v>
      </c>
      <c r="G4">
        <f>VLOOKUP(F4,cap_pres!A$5:B$20,2)</f>
        <v>0.28077524147464394</v>
      </c>
      <c r="H4">
        <f t="shared" si="1"/>
        <v>1.4370626756446382E-2</v>
      </c>
    </row>
    <row r="5" spans="1:9" x14ac:dyDescent="0.3">
      <c r="A5">
        <v>2900</v>
      </c>
      <c r="B5">
        <v>1031353.65</v>
      </c>
      <c r="C5">
        <f t="shared" si="2"/>
        <v>20254202.375</v>
      </c>
      <c r="E5">
        <v>2900</v>
      </c>
      <c r="F5">
        <f t="shared" si="0"/>
        <v>15.441284305366803</v>
      </c>
      <c r="G5">
        <f>VLOOKUP(F5,cap_pres!A$5:B$20,2)</f>
        <v>0.28077524147464394</v>
      </c>
      <c r="H5">
        <f t="shared" si="1"/>
        <v>2.5164070836545746E-2</v>
      </c>
    </row>
    <row r="6" spans="1:9" x14ac:dyDescent="0.3">
      <c r="A6">
        <v>2925</v>
      </c>
      <c r="B6">
        <v>1014843.64</v>
      </c>
      <c r="C6">
        <f t="shared" si="2"/>
        <v>25577466.125</v>
      </c>
      <c r="E6">
        <v>2925</v>
      </c>
      <c r="F6">
        <f t="shared" si="0"/>
        <v>13.511123767195954</v>
      </c>
      <c r="G6">
        <f>VLOOKUP(F6,cap_pres!A$5:B$20,2)</f>
        <v>0.28077524147464394</v>
      </c>
      <c r="H6">
        <f t="shared" si="1"/>
        <v>2.4761241931880427E-2</v>
      </c>
    </row>
    <row r="7" spans="1:9" x14ac:dyDescent="0.3">
      <c r="A7">
        <v>2950</v>
      </c>
      <c r="B7">
        <v>1070644.33</v>
      </c>
      <c r="C7">
        <f t="shared" si="2"/>
        <v>26068599.625000004</v>
      </c>
      <c r="E7">
        <v>2950</v>
      </c>
      <c r="F7">
        <f t="shared" si="0"/>
        <v>11.580963229025102</v>
      </c>
      <c r="G7">
        <f>VLOOKUP(F7,cap_pres!A$5:B$20,2)</f>
        <v>0.28077524147464394</v>
      </c>
      <c r="H7">
        <f t="shared" si="1"/>
        <v>2.6122726923850086E-2</v>
      </c>
    </row>
    <row r="8" spans="1:9" x14ac:dyDescent="0.3">
      <c r="A8">
        <v>2975</v>
      </c>
      <c r="B8">
        <v>1065063</v>
      </c>
      <c r="C8">
        <f t="shared" si="2"/>
        <v>26696341.625</v>
      </c>
      <c r="E8">
        <v>2975</v>
      </c>
      <c r="F8">
        <f t="shared" si="0"/>
        <v>9.6508026908542508</v>
      </c>
      <c r="G8">
        <f>VLOOKUP(F8,cap_pres!A$5:B$20,2)</f>
        <v>0.28077524147464394</v>
      </c>
      <c r="H8">
        <f t="shared" si="1"/>
        <v>2.5986547657424704E-2</v>
      </c>
    </row>
    <row r="9" spans="1:9" x14ac:dyDescent="0.3">
      <c r="A9">
        <v>3000</v>
      </c>
      <c r="B9">
        <v>1007637.57</v>
      </c>
      <c r="C9">
        <f t="shared" si="2"/>
        <v>25908757.124999996</v>
      </c>
      <c r="E9">
        <v>3000</v>
      </c>
      <c r="F9">
        <f t="shared" si="0"/>
        <v>7.7206421526834017</v>
      </c>
      <c r="G9">
        <f>VLOOKUP(F9,cap_pres!A$5:B$20,2)</f>
        <v>0.32554430628136444</v>
      </c>
      <c r="H9">
        <f t="shared" si="1"/>
        <v>2.8505517884891144E-2</v>
      </c>
    </row>
    <row r="10" spans="1:9" x14ac:dyDescent="0.3">
      <c r="A10">
        <v>3025</v>
      </c>
      <c r="B10">
        <v>961897.75</v>
      </c>
      <c r="C10">
        <f t="shared" si="2"/>
        <v>24619191.499999996</v>
      </c>
      <c r="E10">
        <v>3025</v>
      </c>
      <c r="F10">
        <f t="shared" si="0"/>
        <v>5.7904816145125508</v>
      </c>
      <c r="G10">
        <f>VLOOKUP(F10,cap_pres!A$5:B$20,2)</f>
        <v>0.38393873863795625</v>
      </c>
      <c r="H10">
        <f t="shared" si="1"/>
        <v>3.2092630977929026E-2</v>
      </c>
    </row>
    <row r="11" spans="1:9" x14ac:dyDescent="0.3">
      <c r="A11">
        <v>3050</v>
      </c>
      <c r="B11">
        <v>906712.69</v>
      </c>
      <c r="C11">
        <f t="shared" si="2"/>
        <v>23357630.5</v>
      </c>
      <c r="E11">
        <v>3050</v>
      </c>
      <c r="F11">
        <f t="shared" si="0"/>
        <v>3.8603210763417009</v>
      </c>
      <c r="G11">
        <f>VLOOKUP(F11,cap_pres!A$5:B$20,2)</f>
        <v>0.48710223580126844</v>
      </c>
      <c r="H11">
        <f t="shared" si="1"/>
        <v>3.8379940462805934E-2</v>
      </c>
    </row>
    <row r="12" spans="1:9" x14ac:dyDescent="0.3">
      <c r="A12">
        <v>3075</v>
      </c>
      <c r="B12">
        <v>944276.82</v>
      </c>
      <c r="C12">
        <f t="shared" si="2"/>
        <v>23137368.874999996</v>
      </c>
      <c r="E12">
        <v>3075</v>
      </c>
      <c r="F12">
        <f t="shared" si="0"/>
        <v>1.9301605381708504</v>
      </c>
      <c r="G12">
        <f>VLOOKUP(F12,cap_pres!A$5:B$20,2)</f>
        <v>0.69732219228499903</v>
      </c>
      <c r="H12">
        <f t="shared" si="1"/>
        <v>5.7219926468733133E-2</v>
      </c>
    </row>
    <row r="13" spans="1:9" x14ac:dyDescent="0.3">
      <c r="A13">
        <v>3100</v>
      </c>
      <c r="B13">
        <v>2491628</v>
      </c>
      <c r="C13">
        <f t="shared" si="2"/>
        <v>42948810.25</v>
      </c>
      <c r="E13">
        <v>3100</v>
      </c>
      <c r="F13">
        <f t="shared" si="0"/>
        <v>0</v>
      </c>
      <c r="G13">
        <f>VLOOKUP(F13,cap_pres!A$5:B$20,2)</f>
        <v>1</v>
      </c>
      <c r="H13">
        <f t="shared" si="1"/>
        <v>0.21651983247020973</v>
      </c>
    </row>
    <row r="14" spans="1:9" x14ac:dyDescent="0.3">
      <c r="B14">
        <f>SUM(B2:B13)</f>
        <v>11507620.210000001</v>
      </c>
      <c r="C14">
        <f>SUM(C2:C13)</f>
        <v>255715352.125</v>
      </c>
      <c r="H14">
        <f>SUM(H2:H13)</f>
        <v>0.49901645543499734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D22"/>
  <sheetViews>
    <sheetView workbookViewId="0">
      <selection activeCell="F19" sqref="F19"/>
    </sheetView>
  </sheetViews>
  <sheetFormatPr defaultRowHeight="14.4" x14ac:dyDescent="0.3"/>
  <cols>
    <col min="1" max="2" width="9.6640625" customWidth="1"/>
    <col min="3" max="3" width="9.21875" customWidth="1"/>
  </cols>
  <sheetData>
    <row r="1" spans="1:4" x14ac:dyDescent="0.3">
      <c r="A1" s="1" t="s">
        <v>30</v>
      </c>
    </row>
    <row r="3" spans="1:4" x14ac:dyDescent="0.3">
      <c r="A3" s="2" t="s">
        <v>31</v>
      </c>
      <c r="B3" s="2" t="s">
        <v>32</v>
      </c>
    </row>
    <row r="4" spans="1:4" x14ac:dyDescent="0.3">
      <c r="A4" s="2" t="s">
        <v>14</v>
      </c>
      <c r="B4" s="2"/>
      <c r="D4">
        <v>2</v>
      </c>
    </row>
    <row r="5" spans="1:4" x14ac:dyDescent="0.3">
      <c r="A5" s="4">
        <v>0</v>
      </c>
      <c r="B5" s="4">
        <v>1</v>
      </c>
    </row>
    <row r="6" spans="1:4" x14ac:dyDescent="0.3">
      <c r="A6" s="4">
        <v>0.69241379310344831</v>
      </c>
      <c r="B6" s="4">
        <v>0.9990267594607235</v>
      </c>
    </row>
    <row r="7" spans="1:4" x14ac:dyDescent="0.3">
      <c r="A7" s="4">
        <v>0.89931034482758621</v>
      </c>
      <c r="B7" s="4">
        <v>0.99221407568578779</v>
      </c>
    </row>
    <row r="8" spans="1:4" x14ac:dyDescent="0.3">
      <c r="A8" s="4">
        <v>1.1206896551724139</v>
      </c>
      <c r="B8" s="4">
        <v>0.87834493259043367</v>
      </c>
    </row>
    <row r="9" spans="1:4" x14ac:dyDescent="0.3">
      <c r="A9" s="4">
        <v>1.3117241379310345</v>
      </c>
      <c r="B9" s="4">
        <v>0.80827161376252354</v>
      </c>
    </row>
    <row r="10" spans="1:4" x14ac:dyDescent="0.3">
      <c r="A10" s="4">
        <v>1.3903448275862069</v>
      </c>
      <c r="B10" s="4">
        <v>0.7829673597413338</v>
      </c>
    </row>
    <row r="11" spans="1:4" x14ac:dyDescent="0.3">
      <c r="A11" s="4">
        <v>1.7124137931034482</v>
      </c>
      <c r="B11" s="4">
        <v>0.69732219228499903</v>
      </c>
    </row>
    <row r="12" spans="1:4" x14ac:dyDescent="0.3">
      <c r="A12" s="4">
        <v>2.2924137931034481</v>
      </c>
      <c r="B12" s="4">
        <v>0.60583758159300516</v>
      </c>
    </row>
    <row r="13" spans="1:4" x14ac:dyDescent="0.3">
      <c r="A13" s="4">
        <v>2.421379310344828</v>
      </c>
      <c r="B13" s="4">
        <v>0.59123897350385723</v>
      </c>
    </row>
    <row r="14" spans="1:4" x14ac:dyDescent="0.3">
      <c r="A14" s="4">
        <v>3.0524137931034483</v>
      </c>
      <c r="B14" s="4">
        <v>0.51727269251884089</v>
      </c>
    </row>
    <row r="15" spans="1:4" x14ac:dyDescent="0.3">
      <c r="A15" s="4">
        <v>3.4372413793103447</v>
      </c>
      <c r="B15" s="4">
        <v>0.48710223580126844</v>
      </c>
    </row>
    <row r="16" spans="1:4" x14ac:dyDescent="0.3">
      <c r="A16" s="4">
        <v>4.4468965517241381</v>
      </c>
      <c r="B16" s="4">
        <v>0.42092187913046442</v>
      </c>
    </row>
    <row r="17" spans="1:2" x14ac:dyDescent="0.3">
      <c r="A17" s="4">
        <v>5.2531034482758621</v>
      </c>
      <c r="B17" s="4">
        <v>0.38393873863795625</v>
      </c>
    </row>
    <row r="18" spans="1:2" x14ac:dyDescent="0.3">
      <c r="A18" s="4">
        <v>6.886206896551724</v>
      </c>
      <c r="B18" s="4">
        <v>0.32554430628136444</v>
      </c>
    </row>
    <row r="19" spans="1:2" x14ac:dyDescent="0.3">
      <c r="A19" s="4">
        <v>8.7482758620689651</v>
      </c>
      <c r="B19" s="4">
        <v>0.28077524147464394</v>
      </c>
    </row>
    <row r="20" spans="1:2" x14ac:dyDescent="0.3">
      <c r="A20" s="4">
        <v>20</v>
      </c>
      <c r="B20" s="4">
        <v>0.2</v>
      </c>
    </row>
    <row r="22" spans="1:2" x14ac:dyDescent="0.3">
      <c r="B22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3"/>
  <sheetViews>
    <sheetView workbookViewId="0">
      <selection activeCell="J14" sqref="J14"/>
    </sheetView>
  </sheetViews>
  <sheetFormatPr defaultColWidth="9.109375" defaultRowHeight="14.4" x14ac:dyDescent="0.3"/>
  <cols>
    <col min="1" max="1" width="9.6640625" style="7" customWidth="1"/>
    <col min="2" max="6" width="10.6640625" style="7" customWidth="1"/>
    <col min="7" max="16384" width="9.109375" style="7"/>
  </cols>
  <sheetData>
    <row r="1" spans="1:8" x14ac:dyDescent="0.3">
      <c r="A1" s="21" t="s">
        <v>7</v>
      </c>
    </row>
    <row r="2" spans="1:8" x14ac:dyDescent="0.3">
      <c r="A2" s="21"/>
    </row>
    <row r="3" spans="1:8" x14ac:dyDescent="0.3">
      <c r="A3" s="7" t="s">
        <v>19</v>
      </c>
      <c r="B3" s="7">
        <v>90</v>
      </c>
      <c r="C3" s="7" t="s">
        <v>9</v>
      </c>
    </row>
    <row r="4" spans="1:8" x14ac:dyDescent="0.3">
      <c r="A4" s="7" t="s">
        <v>47</v>
      </c>
      <c r="B4" s="22">
        <v>1</v>
      </c>
      <c r="C4" s="7" t="s">
        <v>14</v>
      </c>
    </row>
    <row r="5" spans="1:8" x14ac:dyDescent="0.3">
      <c r="A5" s="7" t="s">
        <v>48</v>
      </c>
      <c r="B5" s="7">
        <v>15</v>
      </c>
      <c r="C5" s="7" t="s">
        <v>9</v>
      </c>
    </row>
    <row r="7" spans="1:8" x14ac:dyDescent="0.3">
      <c r="A7" s="23" t="s">
        <v>10</v>
      </c>
      <c r="B7" s="23" t="s">
        <v>11</v>
      </c>
      <c r="C7" s="23" t="s">
        <v>12</v>
      </c>
      <c r="D7" s="23" t="s">
        <v>52</v>
      </c>
      <c r="E7" s="23" t="s">
        <v>53</v>
      </c>
      <c r="F7" s="23"/>
      <c r="G7" s="7" t="s">
        <v>66</v>
      </c>
      <c r="H7" s="7" t="s">
        <v>81</v>
      </c>
    </row>
    <row r="8" spans="1:8" x14ac:dyDescent="0.3">
      <c r="A8" s="23" t="s">
        <v>14</v>
      </c>
      <c r="B8" s="23"/>
      <c r="C8" s="23" t="s">
        <v>13</v>
      </c>
      <c r="D8" s="23" t="s">
        <v>54</v>
      </c>
      <c r="E8" s="23"/>
      <c r="F8" s="23"/>
      <c r="H8" s="7" t="s">
        <v>14</v>
      </c>
    </row>
    <row r="9" spans="1:8" x14ac:dyDescent="0.3">
      <c r="A9" s="7">
        <v>0</v>
      </c>
      <c r="B9" s="8">
        <v>1</v>
      </c>
      <c r="C9" s="24">
        <v>1.1363265789762761E-2</v>
      </c>
      <c r="D9" s="26">
        <v>219.4</v>
      </c>
      <c r="E9" s="8">
        <v>0.96199999999999997</v>
      </c>
      <c r="F9" s="8"/>
      <c r="G9" s="7">
        <f>A9/B9</f>
        <v>0</v>
      </c>
      <c r="H9" s="7">
        <f>A9</f>
        <v>0</v>
      </c>
    </row>
    <row r="10" spans="1:8" x14ac:dyDescent="0.3">
      <c r="A10" s="7">
        <v>15</v>
      </c>
      <c r="B10" s="8">
        <v>0.98129482756960151</v>
      </c>
      <c r="C10" s="24">
        <v>1.1836326308788258E-2</v>
      </c>
      <c r="D10" s="26">
        <v>201.80087500000002</v>
      </c>
      <c r="E10" s="8">
        <v>0.96507192499999994</v>
      </c>
      <c r="F10" s="8"/>
      <c r="G10" s="7">
        <f t="shared" ref="G10:G33" si="0">A10/B10</f>
        <v>15.285925879331181</v>
      </c>
      <c r="H10" s="7">
        <f t="shared" ref="H10:H33" si="1">A10</f>
        <v>15</v>
      </c>
    </row>
    <row r="11" spans="1:8" x14ac:dyDescent="0.3">
      <c r="A11" s="7">
        <v>30</v>
      </c>
      <c r="B11" s="8">
        <v>0.96363230206563821</v>
      </c>
      <c r="C11" s="24">
        <v>1.2320305483135379E-2</v>
      </c>
      <c r="D11" s="26">
        <v>186.95350000000002</v>
      </c>
      <c r="E11" s="8">
        <v>0.96766370000000002</v>
      </c>
      <c r="F11" s="8"/>
      <c r="G11" s="7">
        <f t="shared" si="0"/>
        <v>31.132206688891731</v>
      </c>
      <c r="H11" s="7">
        <f t="shared" si="1"/>
        <v>30</v>
      </c>
    </row>
    <row r="12" spans="1:8" x14ac:dyDescent="0.3">
      <c r="A12" s="7">
        <v>45</v>
      </c>
      <c r="B12" s="8">
        <v>0.94704957616891372</v>
      </c>
      <c r="C12" s="24">
        <v>1.2814994937724632E-2</v>
      </c>
      <c r="D12" s="26">
        <v>174.85787500000001</v>
      </c>
      <c r="E12" s="8">
        <v>0.96977532499999997</v>
      </c>
      <c r="F12" s="8"/>
      <c r="G12" s="7">
        <f t="shared" si="0"/>
        <v>47.515991910410712</v>
      </c>
      <c r="H12" s="7">
        <f t="shared" si="1"/>
        <v>45</v>
      </c>
    </row>
    <row r="13" spans="1:8" x14ac:dyDescent="0.3">
      <c r="A13" s="7">
        <v>60</v>
      </c>
      <c r="B13" s="8">
        <v>0.93183290124823437</v>
      </c>
      <c r="C13" s="24">
        <v>1.3320160278816247E-2</v>
      </c>
      <c r="D13" s="26">
        <v>165.51400000000001</v>
      </c>
      <c r="E13" s="8">
        <v>0.97140680000000001</v>
      </c>
      <c r="F13" s="8"/>
      <c r="G13" s="7">
        <f t="shared" si="0"/>
        <v>64.389226780495889</v>
      </c>
      <c r="H13" s="7">
        <f t="shared" si="1"/>
        <v>60</v>
      </c>
    </row>
    <row r="14" spans="1:8" x14ac:dyDescent="0.3">
      <c r="A14" s="7">
        <v>75</v>
      </c>
      <c r="B14" s="8">
        <v>0.91812605418873061</v>
      </c>
      <c r="C14" s="24">
        <v>1.383554096817609E-2</v>
      </c>
      <c r="D14" s="26">
        <v>158.921875</v>
      </c>
      <c r="E14" s="8">
        <v>0.97255812499999994</v>
      </c>
      <c r="F14" s="8"/>
      <c r="G14" s="7">
        <f t="shared" si="0"/>
        <v>81.688129487046396</v>
      </c>
      <c r="H14" s="7">
        <f t="shared" si="1"/>
        <v>75</v>
      </c>
    </row>
    <row r="15" spans="1:8" x14ac:dyDescent="0.3">
      <c r="A15" s="7">
        <v>90</v>
      </c>
      <c r="B15" s="8">
        <v>0.9061211723205751</v>
      </c>
      <c r="C15" s="24">
        <v>1.4360850276606182E-2</v>
      </c>
      <c r="D15" s="26">
        <v>155.08150000000001</v>
      </c>
      <c r="E15" s="8">
        <v>0.97322929999999996</v>
      </c>
      <c r="F15" s="8"/>
      <c r="G15" s="7">
        <f t="shared" si="0"/>
        <v>99.324464265093951</v>
      </c>
      <c r="H15" s="7">
        <f t="shared" si="1"/>
        <v>90</v>
      </c>
    </row>
    <row r="16" spans="1:8" x14ac:dyDescent="0.3">
      <c r="A16" s="7">
        <v>105</v>
      </c>
      <c r="B16" s="8">
        <v>0.89600544510057833</v>
      </c>
      <c r="C16" s="24">
        <v>1.4895775318664168E-2</v>
      </c>
      <c r="D16" s="26">
        <v>153.99287500000003</v>
      </c>
      <c r="E16" s="8">
        <v>0.97342032499999998</v>
      </c>
      <c r="F16" s="8"/>
      <c r="G16" s="7">
        <f t="shared" si="0"/>
        <v>117.18678784168945</v>
      </c>
      <c r="H16" s="7">
        <f t="shared" si="1"/>
        <v>105</v>
      </c>
    </row>
    <row r="17" spans="1:8" x14ac:dyDescent="0.3">
      <c r="A17" s="7">
        <v>120</v>
      </c>
      <c r="B17" s="8">
        <v>0.88794646723115755</v>
      </c>
      <c r="C17" s="24">
        <v>1.5439977170060952E-2</v>
      </c>
      <c r="D17" s="26">
        <v>155.65600000000001</v>
      </c>
      <c r="E17" s="8">
        <v>0.97313119999999997</v>
      </c>
      <c r="F17" s="8"/>
      <c r="G17" s="7">
        <f t="shared" si="0"/>
        <v>135.14328220054804</v>
      </c>
      <c r="H17" s="7">
        <f t="shared" si="1"/>
        <v>120</v>
      </c>
    </row>
    <row r="18" spans="1:8" x14ac:dyDescent="0.3">
      <c r="A18" s="7">
        <v>135</v>
      </c>
      <c r="B18" s="8">
        <v>0.88207654066348329</v>
      </c>
      <c r="C18" s="24">
        <v>1.5993091068878577E-2</v>
      </c>
      <c r="D18" s="26">
        <v>160.070875</v>
      </c>
      <c r="E18" s="8">
        <v>0.97236192499999996</v>
      </c>
      <c r="F18" s="8"/>
      <c r="G18" s="7">
        <f t="shared" si="0"/>
        <v>153.04794286724285</v>
      </c>
      <c r="H18" s="7">
        <f t="shared" si="1"/>
        <v>135</v>
      </c>
    </row>
    <row r="19" spans="1:8" x14ac:dyDescent="0.3">
      <c r="A19" s="7">
        <v>150</v>
      </c>
      <c r="B19" s="8">
        <v>0.8784786156384693</v>
      </c>
      <c r="C19" s="24">
        <v>1.6554726701391929E-2</v>
      </c>
      <c r="D19" s="26">
        <v>167.23750000000001</v>
      </c>
      <c r="E19" s="8">
        <v>0.97111249999999993</v>
      </c>
      <c r="F19" s="8"/>
      <c r="G19" s="7">
        <f t="shared" si="0"/>
        <v>170.7497454459737</v>
      </c>
      <c r="H19" s="7">
        <f t="shared" si="1"/>
        <v>150</v>
      </c>
    </row>
    <row r="20" spans="1:8" x14ac:dyDescent="0.3">
      <c r="A20" s="7">
        <v>165</v>
      </c>
      <c r="B20" s="8">
        <v>0.87717695440303156</v>
      </c>
      <c r="C20" s="24">
        <v>1.7124468572910605E-2</v>
      </c>
      <c r="D20" s="26">
        <v>177.15587500000001</v>
      </c>
      <c r="E20" s="8">
        <v>0.96938292500000001</v>
      </c>
      <c r="F20" s="8"/>
      <c r="G20" s="7">
        <f t="shared" si="0"/>
        <v>188.10343702234152</v>
      </c>
      <c r="H20" s="7">
        <f t="shared" si="1"/>
        <v>165</v>
      </c>
    </row>
    <row r="21" spans="1:8" x14ac:dyDescent="0.3">
      <c r="A21" s="7">
        <v>180</v>
      </c>
      <c r="B21" s="8">
        <v>0.87813484488652016</v>
      </c>
      <c r="C21" s="24">
        <v>1.7701876463684731E-2</v>
      </c>
      <c r="D21" s="26">
        <v>189.82600000000002</v>
      </c>
      <c r="E21" s="8">
        <v>0.96717319999999996</v>
      </c>
      <c r="F21" s="8"/>
      <c r="G21" s="7">
        <f t="shared" si="0"/>
        <v>204.97990832291947</v>
      </c>
      <c r="H21" s="7">
        <f t="shared" si="1"/>
        <v>180</v>
      </c>
    </row>
    <row r="22" spans="1:8" x14ac:dyDescent="0.3">
      <c r="A22" s="7">
        <v>195</v>
      </c>
      <c r="B22" s="8">
        <v>0.88125989279831751</v>
      </c>
      <c r="C22" s="24">
        <v>1.8286485969538392E-2</v>
      </c>
      <c r="D22" s="26">
        <v>205.24787499999999</v>
      </c>
      <c r="E22" s="8">
        <v>0.964483325</v>
      </c>
      <c r="F22" s="8"/>
      <c r="G22" s="7">
        <f t="shared" si="0"/>
        <v>221.27411175017255</v>
      </c>
      <c r="H22" s="7">
        <f t="shared" si="1"/>
        <v>195</v>
      </c>
    </row>
    <row r="23" spans="1:8" x14ac:dyDescent="0.3">
      <c r="A23" s="7">
        <v>210</v>
      </c>
      <c r="B23" s="8">
        <v>0.88641532739938678</v>
      </c>
      <c r="C23" s="24">
        <v>1.887780912651691E-2</v>
      </c>
      <c r="D23" s="26">
        <v>223.42150000000001</v>
      </c>
      <c r="E23" s="8">
        <v>0.96131329999999993</v>
      </c>
      <c r="F23" s="8"/>
      <c r="G23" s="7">
        <f t="shared" si="0"/>
        <v>236.90926082709936</v>
      </c>
      <c r="H23" s="7">
        <f t="shared" si="1"/>
        <v>210</v>
      </c>
    </row>
    <row r="24" spans="1:8" x14ac:dyDescent="0.3">
      <c r="A24" s="7">
        <v>225</v>
      </c>
      <c r="B24" s="8">
        <v>0.89343435558387629</v>
      </c>
      <c r="C24" s="24">
        <v>1.9475335118449278E-2</v>
      </c>
      <c r="D24" s="26">
        <v>244.34687500000001</v>
      </c>
      <c r="E24" s="8">
        <v>0.95766312499999995</v>
      </c>
      <c r="F24" s="8"/>
      <c r="G24" s="7">
        <f t="shared" si="0"/>
        <v>251.83719273136552</v>
      </c>
      <c r="H24" s="7">
        <f t="shared" si="1"/>
        <v>225</v>
      </c>
    </row>
    <row r="25" spans="1:8" x14ac:dyDescent="0.3">
      <c r="A25" s="7">
        <v>240</v>
      </c>
      <c r="B25" s="8">
        <v>0.90213445990294239</v>
      </c>
      <c r="C25" s="24">
        <v>2.0078531065952952E-2</v>
      </c>
      <c r="D25" s="26">
        <v>268.024</v>
      </c>
      <c r="E25" s="8">
        <v>0.95353279999999996</v>
      </c>
      <c r="F25" s="8"/>
      <c r="G25" s="7">
        <f t="shared" si="0"/>
        <v>266.03573044512763</v>
      </c>
      <c r="H25" s="7">
        <f t="shared" si="1"/>
        <v>240</v>
      </c>
    </row>
    <row r="26" spans="1:8" x14ac:dyDescent="0.3">
      <c r="A26" s="7">
        <v>255</v>
      </c>
      <c r="B26" s="8">
        <v>0.91232946895872069</v>
      </c>
      <c r="C26" s="24">
        <v>2.0686842895031352E-2</v>
      </c>
      <c r="D26" s="26">
        <v>294.45287500000001</v>
      </c>
      <c r="E26" s="8">
        <v>0.94892232499999996</v>
      </c>
      <c r="F26" s="8"/>
      <c r="G26" s="7">
        <f t="shared" si="0"/>
        <v>279.50428948770235</v>
      </c>
      <c r="H26" s="7">
        <f t="shared" si="1"/>
        <v>255</v>
      </c>
    </row>
    <row r="27" spans="1:8" x14ac:dyDescent="0.3">
      <c r="A27" s="7">
        <v>270</v>
      </c>
      <c r="B27" s="8">
        <v>0.92383853244887704</v>
      </c>
      <c r="C27" s="24">
        <v>2.1299696283046565E-2</v>
      </c>
      <c r="D27" s="26">
        <v>323.63350000000003</v>
      </c>
      <c r="E27" s="8">
        <v>0.94383169999999994</v>
      </c>
      <c r="F27" s="8"/>
      <c r="G27" s="7">
        <f t="shared" si="0"/>
        <v>292.25886398599761</v>
      </c>
      <c r="H27" s="7">
        <f t="shared" si="1"/>
        <v>270</v>
      </c>
    </row>
    <row r="28" spans="1:8" x14ac:dyDescent="0.3">
      <c r="A28" s="7">
        <v>285</v>
      </c>
      <c r="B28" s="8">
        <v>0.93649214111460444</v>
      </c>
      <c r="C28" s="24">
        <v>2.1916497679491758E-2</v>
      </c>
      <c r="D28" s="26">
        <v>355.56587500000001</v>
      </c>
      <c r="E28" s="8">
        <v>0.93826092500000002</v>
      </c>
      <c r="F28" s="8"/>
      <c r="G28" s="7">
        <f t="shared" si="0"/>
        <v>304.32716676169389</v>
      </c>
      <c r="H28" s="7">
        <f t="shared" si="1"/>
        <v>285</v>
      </c>
    </row>
    <row r="29" spans="1:8" x14ac:dyDescent="0.3">
      <c r="A29" s="7">
        <v>300</v>
      </c>
      <c r="B29" s="8">
        <v>0.9501357717549147</v>
      </c>
      <c r="C29" s="24">
        <v>2.2536635398640266E-2</v>
      </c>
      <c r="D29" s="26">
        <v>390.25</v>
      </c>
      <c r="E29" s="8">
        <v>0.93220999999999998</v>
      </c>
      <c r="F29" s="8"/>
      <c r="G29" s="7">
        <f t="shared" si="0"/>
        <v>315.74434824814102</v>
      </c>
      <c r="H29" s="7">
        <f t="shared" si="1"/>
        <v>300</v>
      </c>
    </row>
    <row r="30" spans="1:8" x14ac:dyDescent="0.3">
      <c r="A30" s="7">
        <v>315</v>
      </c>
      <c r="B30" s="8">
        <v>0.96463172112483997</v>
      </c>
      <c r="C30" s="24">
        <v>2.3159480780808116E-2</v>
      </c>
      <c r="D30" s="26">
        <v>427.68587500000001</v>
      </c>
      <c r="E30" s="8">
        <v>0.92567892499999993</v>
      </c>
      <c r="F30" s="8"/>
      <c r="G30" s="7">
        <f t="shared" si="0"/>
        <v>326.54949355458069</v>
      </c>
      <c r="H30" s="7">
        <f t="shared" si="1"/>
        <v>315</v>
      </c>
    </row>
    <row r="31" spans="1:8" x14ac:dyDescent="0.3">
      <c r="A31" s="7">
        <v>330</v>
      </c>
      <c r="B31" s="8">
        <v>0.97985948966883663</v>
      </c>
      <c r="C31" s="24">
        <v>2.3784389418652501E-2</v>
      </c>
      <c r="D31" s="26">
        <v>467.87350000000004</v>
      </c>
      <c r="E31" s="8">
        <v>0.91866769999999998</v>
      </c>
      <c r="F31" s="8"/>
      <c r="G31" s="7">
        <f t="shared" si="0"/>
        <v>336.78298111041431</v>
      </c>
      <c r="H31" s="7">
        <f t="shared" si="1"/>
        <v>330</v>
      </c>
    </row>
    <row r="32" spans="1:8" x14ac:dyDescent="0.3">
      <c r="A32" s="7">
        <v>345</v>
      </c>
      <c r="B32" s="8">
        <v>0.99569741607465456</v>
      </c>
      <c r="C32" s="24">
        <v>2.441070244462025E-2</v>
      </c>
      <c r="D32" s="26">
        <v>510.81287499999996</v>
      </c>
      <c r="E32" s="8">
        <v>0.91117632500000001</v>
      </c>
      <c r="F32" s="8"/>
      <c r="G32" s="7">
        <f t="shared" si="0"/>
        <v>346.49080577119111</v>
      </c>
      <c r="H32" s="7">
        <f t="shared" si="1"/>
        <v>345</v>
      </c>
    </row>
    <row r="33" spans="1:8" x14ac:dyDescent="0.3">
      <c r="A33" s="7">
        <v>360</v>
      </c>
      <c r="B33" s="8">
        <v>1.0121081415634645</v>
      </c>
      <c r="C33" s="24">
        <v>2.5037747875373158E-2</v>
      </c>
      <c r="D33" s="26">
        <v>556.50400000000002</v>
      </c>
      <c r="E33" s="8">
        <v>0.90320480000000003</v>
      </c>
      <c r="F33" s="8"/>
      <c r="G33" s="7">
        <f t="shared" si="0"/>
        <v>355.69321618526482</v>
      </c>
      <c r="H33" s="7">
        <f t="shared" si="1"/>
        <v>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9"/>
  <sheetViews>
    <sheetView topLeftCell="A3" workbookViewId="0">
      <selection activeCell="G9" sqref="G9"/>
    </sheetView>
  </sheetViews>
  <sheetFormatPr defaultRowHeight="14.4" x14ac:dyDescent="0.3"/>
  <cols>
    <col min="1" max="4" width="9.6640625" customWidth="1"/>
  </cols>
  <sheetData>
    <row r="1" spans="1:8" x14ac:dyDescent="0.3">
      <c r="A1" s="1" t="s">
        <v>15</v>
      </c>
    </row>
    <row r="2" spans="1:8" x14ac:dyDescent="0.3">
      <c r="C2" s="12"/>
    </row>
    <row r="3" spans="1:8" x14ac:dyDescent="0.3">
      <c r="A3" t="s">
        <v>16</v>
      </c>
      <c r="B3" s="2" t="s">
        <v>0</v>
      </c>
      <c r="C3" s="2" t="s">
        <v>29</v>
      </c>
      <c r="F3" t="s">
        <v>65</v>
      </c>
      <c r="G3" t="s">
        <v>72</v>
      </c>
      <c r="H3" t="s">
        <v>73</v>
      </c>
    </row>
    <row r="4" spans="1:8" x14ac:dyDescent="0.3">
      <c r="B4" s="2" t="s">
        <v>18</v>
      </c>
      <c r="C4" s="2" t="s">
        <v>14</v>
      </c>
      <c r="F4">
        <f>VLOOKUP(C29, PVT_data!A$9:E$33, 2)</f>
        <v>0.93649214111460444</v>
      </c>
      <c r="G4">
        <f>0.00347*F4*363/C29</f>
        <v>3.9585003169234417E-3</v>
      </c>
      <c r="H4">
        <f>0.65*1.293*288*C29/(363*F4)</f>
        <v>212.17937217516314</v>
      </c>
    </row>
    <row r="5" spans="1:8" x14ac:dyDescent="0.3">
      <c r="A5" s="11" t="s">
        <v>26</v>
      </c>
      <c r="B5" s="6">
        <v>3050.9631999999997</v>
      </c>
      <c r="C5" s="5">
        <v>296.76632000000001</v>
      </c>
    </row>
    <row r="6" spans="1:8" x14ac:dyDescent="0.3">
      <c r="A6" s="11" t="s">
        <v>26</v>
      </c>
      <c r="B6" s="6">
        <v>3063.1506999999997</v>
      </c>
      <c r="C6" s="5">
        <v>297.90706999999998</v>
      </c>
    </row>
    <row r="7" spans="1:8" x14ac:dyDescent="0.3">
      <c r="A7" s="11" t="s">
        <v>26</v>
      </c>
      <c r="B7" s="6">
        <v>3070.3757999999998</v>
      </c>
      <c r="C7" s="5">
        <v>298.70058</v>
      </c>
    </row>
    <row r="8" spans="1:8" x14ac:dyDescent="0.3">
      <c r="A8" s="11" t="s">
        <v>26</v>
      </c>
      <c r="B8" s="6">
        <v>3083.6902</v>
      </c>
      <c r="C8" s="5">
        <v>300.05402000000004</v>
      </c>
    </row>
    <row r="9" spans="1:8" x14ac:dyDescent="0.3">
      <c r="A9" s="11" t="s">
        <v>26</v>
      </c>
      <c r="B9" s="6">
        <v>3093.6209999999996</v>
      </c>
      <c r="C9" s="5">
        <v>301.13909999999998</v>
      </c>
    </row>
    <row r="10" spans="1:8" x14ac:dyDescent="0.3">
      <c r="A10" s="11" t="s">
        <v>26</v>
      </c>
      <c r="B10" s="6">
        <v>3103.3269999999998</v>
      </c>
      <c r="C10" s="5">
        <v>301.98669999999998</v>
      </c>
    </row>
    <row r="11" spans="1:8" x14ac:dyDescent="0.3">
      <c r="A11" s="11" t="s">
        <v>26</v>
      </c>
      <c r="B11" s="6">
        <v>3117.9978999999998</v>
      </c>
      <c r="C11" s="5">
        <v>303.42978999999997</v>
      </c>
    </row>
    <row r="12" spans="1:8" x14ac:dyDescent="0.3">
      <c r="A12" s="11" t="s">
        <v>26</v>
      </c>
      <c r="B12" s="6">
        <v>3127.4768999999997</v>
      </c>
      <c r="C12" s="5">
        <v>304.40568999999999</v>
      </c>
    </row>
    <row r="13" spans="1:8" x14ac:dyDescent="0.3">
      <c r="A13" s="11" t="s">
        <v>27</v>
      </c>
      <c r="B13" s="6">
        <v>3034.5372000000002</v>
      </c>
      <c r="C13" s="5">
        <v>297.90207486582932</v>
      </c>
    </row>
    <row r="14" spans="1:8" x14ac:dyDescent="0.3">
      <c r="A14" s="11" t="s">
        <v>27</v>
      </c>
      <c r="B14" s="6">
        <v>3042.6640000000002</v>
      </c>
      <c r="C14" s="5">
        <v>298.09277148644878</v>
      </c>
    </row>
    <row r="15" spans="1:8" x14ac:dyDescent="0.3">
      <c r="A15" s="11" t="s">
        <v>27</v>
      </c>
      <c r="B15" s="6">
        <v>3046.9537</v>
      </c>
      <c r="C15" s="5">
        <v>298.25134519239356</v>
      </c>
    </row>
    <row r="16" spans="1:8" x14ac:dyDescent="0.3">
      <c r="A16" s="11" t="s">
        <v>27</v>
      </c>
      <c r="B16" s="6">
        <v>3060.4945000000002</v>
      </c>
      <c r="C16" s="5">
        <v>298.46244999999999</v>
      </c>
    </row>
    <row r="17" spans="1:3" x14ac:dyDescent="0.3">
      <c r="A17" s="11" t="s">
        <v>27</v>
      </c>
      <c r="B17" s="6">
        <v>3068.3937000000001</v>
      </c>
      <c r="C17" s="5">
        <v>299.21936999999997</v>
      </c>
    </row>
    <row r="18" spans="1:3" x14ac:dyDescent="0.3">
      <c r="A18" s="11" t="s">
        <v>27</v>
      </c>
      <c r="B18" s="6">
        <v>3074.2628</v>
      </c>
      <c r="C18" s="5">
        <v>299.77727999999996</v>
      </c>
    </row>
    <row r="19" spans="1:3" x14ac:dyDescent="0.3">
      <c r="A19" s="11" t="s">
        <v>27</v>
      </c>
      <c r="B19" s="6">
        <v>3079.4540000000002</v>
      </c>
      <c r="C19" s="5">
        <v>300.36440000000005</v>
      </c>
    </row>
    <row r="20" spans="1:3" x14ac:dyDescent="0.3">
      <c r="A20" s="11" t="s">
        <v>28</v>
      </c>
      <c r="B20" s="6">
        <v>2855.8933999999999</v>
      </c>
      <c r="C20" s="5">
        <v>293.99180211704191</v>
      </c>
    </row>
    <row r="21" spans="1:3" x14ac:dyDescent="0.3">
      <c r="A21" s="11" t="s">
        <v>28</v>
      </c>
      <c r="B21" s="6">
        <v>2860.8581999999997</v>
      </c>
      <c r="C21" s="5">
        <v>294.24947266166606</v>
      </c>
    </row>
    <row r="22" spans="1:3" x14ac:dyDescent="0.3">
      <c r="A22" s="11" t="s">
        <v>28</v>
      </c>
      <c r="B22" s="6">
        <v>2870.3359999999998</v>
      </c>
      <c r="C22" s="5">
        <v>294.33637966453409</v>
      </c>
    </row>
    <row r="23" spans="1:3" x14ac:dyDescent="0.3">
      <c r="A23" s="11" t="s">
        <v>28</v>
      </c>
      <c r="B23" s="6">
        <v>2880.9433999999997</v>
      </c>
      <c r="C23" s="5">
        <v>294.62587397146422</v>
      </c>
    </row>
    <row r="24" spans="1:3" x14ac:dyDescent="0.3">
      <c r="A24" s="11" t="s">
        <v>28</v>
      </c>
      <c r="B24" s="6">
        <v>2889.0686999999998</v>
      </c>
      <c r="C24" s="5">
        <v>294.8465392704158</v>
      </c>
    </row>
    <row r="25" spans="1:3" x14ac:dyDescent="0.3">
      <c r="A25" s="11" t="s">
        <v>28</v>
      </c>
      <c r="B25" s="6">
        <v>2896.0654999999997</v>
      </c>
      <c r="C25" s="5">
        <v>295.61582911499858</v>
      </c>
    </row>
    <row r="26" spans="1:3" x14ac:dyDescent="0.3">
      <c r="A26" s="11" t="s">
        <v>28</v>
      </c>
      <c r="B26" s="6">
        <v>2899.9031</v>
      </c>
      <c r="C26" s="5">
        <v>295.71496247022941</v>
      </c>
    </row>
    <row r="27" spans="1:3" x14ac:dyDescent="0.3">
      <c r="A27" s="11" t="s">
        <v>28</v>
      </c>
      <c r="B27" s="6">
        <v>2906.2207999999996</v>
      </c>
      <c r="C27" s="5">
        <v>295.91188307121479</v>
      </c>
    </row>
    <row r="28" spans="1:3" x14ac:dyDescent="0.3">
      <c r="A28" s="11" t="s">
        <v>28</v>
      </c>
      <c r="B28" s="6">
        <v>2917.2783999999997</v>
      </c>
      <c r="C28" s="5">
        <v>296.13777805474615</v>
      </c>
    </row>
    <row r="29" spans="1:3" x14ac:dyDescent="0.3">
      <c r="C29" s="5">
        <f>AVERAGE(C5:C28)</f>
        <v>297.99539508087429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N35"/>
  <sheetViews>
    <sheetView topLeftCell="H21" workbookViewId="0">
      <selection activeCell="J41" sqref="J41"/>
    </sheetView>
  </sheetViews>
  <sheetFormatPr defaultRowHeight="14.4" x14ac:dyDescent="0.3"/>
  <cols>
    <col min="1" max="2" width="9.6640625" customWidth="1"/>
    <col min="3" max="3" width="3.6640625" customWidth="1"/>
    <col min="4" max="10" width="9.6640625" customWidth="1"/>
    <col min="13" max="13" width="9.44140625" customWidth="1"/>
  </cols>
  <sheetData>
    <row r="1" spans="1:14" x14ac:dyDescent="0.3">
      <c r="A1" s="25" t="s">
        <v>49</v>
      </c>
    </row>
    <row r="2" spans="1:14" x14ac:dyDescent="0.3">
      <c r="A2" s="1"/>
    </row>
    <row r="3" spans="1:14" x14ac:dyDescent="0.3">
      <c r="A3" s="1" t="s">
        <v>50</v>
      </c>
      <c r="D3" s="10" t="s">
        <v>51</v>
      </c>
    </row>
    <row r="4" spans="1:14" x14ac:dyDescent="0.3">
      <c r="L4" t="s">
        <v>69</v>
      </c>
      <c r="M4" s="5">
        <v>300</v>
      </c>
    </row>
    <row r="5" spans="1:14" x14ac:dyDescent="0.3">
      <c r="A5" s="2" t="s">
        <v>25</v>
      </c>
      <c r="B5" s="2" t="s">
        <v>20</v>
      </c>
      <c r="D5" s="2" t="s">
        <v>25</v>
      </c>
      <c r="E5" s="32" t="s">
        <v>33</v>
      </c>
      <c r="F5" s="32"/>
      <c r="G5" s="32"/>
      <c r="H5" s="32"/>
      <c r="I5" s="32"/>
    </row>
    <row r="6" spans="1:14" x14ac:dyDescent="0.3">
      <c r="A6" s="2" t="s">
        <v>24</v>
      </c>
      <c r="B6" s="2" t="s">
        <v>14</v>
      </c>
      <c r="D6" s="2" t="s">
        <v>24</v>
      </c>
      <c r="E6">
        <v>20</v>
      </c>
      <c r="F6">
        <v>40</v>
      </c>
      <c r="G6">
        <v>60</v>
      </c>
      <c r="H6">
        <v>80</v>
      </c>
      <c r="I6">
        <v>100</v>
      </c>
      <c r="M6" s="28" t="s">
        <v>70</v>
      </c>
      <c r="N6" t="s">
        <v>71</v>
      </c>
    </row>
    <row r="7" spans="1:14" x14ac:dyDescent="0.3">
      <c r="A7">
        <v>250000</v>
      </c>
      <c r="B7" s="6">
        <v>291.30079018654919</v>
      </c>
      <c r="D7" s="3">
        <v>0</v>
      </c>
      <c r="E7" s="6">
        <v>23.532731681034484</v>
      </c>
      <c r="F7" s="6">
        <v>47.341165476831897</v>
      </c>
      <c r="G7" s="6">
        <v>71.415880926724142</v>
      </c>
      <c r="H7" s="6">
        <v>95.719069908405174</v>
      </c>
      <c r="I7" s="6">
        <v>120.17421538254311</v>
      </c>
      <c r="L7" s="6"/>
      <c r="M7" s="3">
        <f>M$4^2 - B7^2</f>
        <v>5143.8496366920444</v>
      </c>
      <c r="N7">
        <f>A7</f>
        <v>250000</v>
      </c>
    </row>
    <row r="8" spans="1:14" x14ac:dyDescent="0.3">
      <c r="A8">
        <v>500000</v>
      </c>
      <c r="B8" s="6">
        <v>265.91741799999028</v>
      </c>
      <c r="D8" s="3">
        <v>269503.21354412253</v>
      </c>
      <c r="E8" s="6">
        <v>57.624254950161635</v>
      </c>
      <c r="F8" s="6">
        <v>70.450258452316817</v>
      </c>
      <c r="G8" s="6">
        <v>88.151653421336206</v>
      </c>
      <c r="H8" s="6">
        <v>108.54471982758621</v>
      </c>
      <c r="I8" s="6">
        <v>130.44418440193965</v>
      </c>
      <c r="L8" s="6"/>
      <c r="M8" s="3">
        <f>M$4^2 - B8^2</f>
        <v>19287.926804218441</v>
      </c>
      <c r="N8">
        <f>A8</f>
        <v>500000</v>
      </c>
    </row>
    <row r="9" spans="1:14" x14ac:dyDescent="0.3">
      <c r="A9">
        <v>750000</v>
      </c>
      <c r="B9" s="6">
        <v>227.77141696663895</v>
      </c>
      <c r="D9" s="3">
        <v>427700.09523733711</v>
      </c>
      <c r="E9" s="6">
        <v>85.94775390625</v>
      </c>
      <c r="F9" s="6">
        <v>94.84401939655173</v>
      </c>
      <c r="G9" s="6">
        <v>108.41662176724138</v>
      </c>
      <c r="H9" s="6">
        <v>125.34501279633621</v>
      </c>
      <c r="I9" s="6">
        <v>144.5436422413793</v>
      </c>
      <c r="L9" s="6"/>
      <c r="M9" s="3">
        <f>M$4^2 - B9^2</f>
        <v>38120.181613009496</v>
      </c>
      <c r="N9">
        <f>A9</f>
        <v>750000</v>
      </c>
    </row>
    <row r="10" spans="1:14" x14ac:dyDescent="0.3">
      <c r="A10">
        <v>1000000</v>
      </c>
      <c r="B10" s="6">
        <v>173.04268223820105</v>
      </c>
      <c r="D10" s="3">
        <v>550871.38168855675</v>
      </c>
      <c r="E10" s="6">
        <v>108.30046134159483</v>
      </c>
      <c r="F10" s="6">
        <v>115.39161839978448</v>
      </c>
      <c r="G10" s="6">
        <v>126.65017174030173</v>
      </c>
      <c r="H10" s="6">
        <v>141.27141702586206</v>
      </c>
      <c r="I10" s="6">
        <v>158.42677464978448</v>
      </c>
      <c r="L10" s="6"/>
      <c r="M10" s="3">
        <f>M$4^2 - B10^2</f>
        <v>60056.230123808979</v>
      </c>
      <c r="N10">
        <f>A10</f>
        <v>1000000</v>
      </c>
    </row>
    <row r="11" spans="1:14" x14ac:dyDescent="0.3">
      <c r="D11" s="3">
        <v>654388.36038056237</v>
      </c>
      <c r="E11" s="6">
        <v>127.09900323275862</v>
      </c>
      <c r="F11" s="6">
        <v>133.13855401400863</v>
      </c>
      <c r="G11" s="6">
        <v>142.92699353448276</v>
      </c>
      <c r="H11" s="6">
        <v>155.94164197198276</v>
      </c>
      <c r="I11" s="6">
        <v>171.55507475754311</v>
      </c>
      <c r="M11" s="28"/>
    </row>
    <row r="12" spans="1:14" x14ac:dyDescent="0.3">
      <c r="D12" s="3">
        <v>744545.7692566691</v>
      </c>
      <c r="E12" s="6">
        <v>143.46204876077587</v>
      </c>
      <c r="F12" s="6">
        <v>148.80766769935346</v>
      </c>
      <c r="G12" s="6">
        <v>157.57883216594828</v>
      </c>
      <c r="H12" s="6">
        <v>169.4182718211207</v>
      </c>
      <c r="I12" s="6">
        <v>183.84183054956895</v>
      </c>
    </row>
    <row r="13" spans="1:14" x14ac:dyDescent="0.3">
      <c r="D13" s="3">
        <v>824596.71998078329</v>
      </c>
      <c r="E13" s="6">
        <v>157.99127828663794</v>
      </c>
      <c r="F13" s="6">
        <v>162.84327855603448</v>
      </c>
      <c r="G13" s="6">
        <v>170.86902276400863</v>
      </c>
      <c r="H13" s="6">
        <v>181.81522764008622</v>
      </c>
      <c r="I13" s="6">
        <v>195.2995016163793</v>
      </c>
    </row>
    <row r="14" spans="1:14" x14ac:dyDescent="0.3">
      <c r="A14" s="2" t="s">
        <v>25</v>
      </c>
      <c r="B14" s="2" t="s">
        <v>20</v>
      </c>
      <c r="D14" s="3">
        <v>896436.02036538592</v>
      </c>
      <c r="E14" s="6">
        <v>171.04219423491378</v>
      </c>
      <c r="F14" s="6">
        <v>175.52518857758622</v>
      </c>
      <c r="G14" s="6">
        <v>182.98252289870689</v>
      </c>
      <c r="H14" s="6">
        <v>193.22998046875</v>
      </c>
      <c r="I14" s="6">
        <v>205.95881600215517</v>
      </c>
    </row>
    <row r="15" spans="1:14" x14ac:dyDescent="0.3">
      <c r="A15" s="2" t="s">
        <v>24</v>
      </c>
      <c r="B15" s="2" t="s">
        <v>14</v>
      </c>
      <c r="D15" s="3">
        <v>961246.13176699274</v>
      </c>
      <c r="E15" s="6">
        <v>182.83656047952587</v>
      </c>
      <c r="F15" s="6">
        <v>187.03416285021552</v>
      </c>
      <c r="G15" s="6">
        <v>194.04569639008622</v>
      </c>
      <c r="H15" s="6">
        <v>203.73440867456895</v>
      </c>
      <c r="I15" s="6">
        <v>215.84678071120689</v>
      </c>
    </row>
    <row r="16" spans="1:14" x14ac:dyDescent="0.3">
      <c r="A16">
        <f>2*A7</f>
        <v>500000</v>
      </c>
      <c r="B16" s="6">
        <v>291.30079018654919</v>
      </c>
      <c r="D16" s="3">
        <v>1019795.8288170644</v>
      </c>
      <c r="E16" s="6">
        <v>193.51693830818965</v>
      </c>
      <c r="F16" s="6">
        <v>197.48824757543105</v>
      </c>
      <c r="G16" s="6">
        <v>204.14274649784483</v>
      </c>
      <c r="H16" s="6">
        <v>213.37789601293105</v>
      </c>
      <c r="I16" s="6">
        <v>224.98147898706895</v>
      </c>
    </row>
    <row r="17" spans="1:12" x14ac:dyDescent="0.3">
      <c r="A17">
        <f>2*A8</f>
        <v>1000000</v>
      </c>
      <c r="B17" s="6">
        <v>265.91741799999028</v>
      </c>
      <c r="D17" s="3">
        <v>1072597.011427236</v>
      </c>
      <c r="E17" s="6">
        <v>203.17556236530172</v>
      </c>
      <c r="F17" s="6">
        <v>206.96437230603448</v>
      </c>
      <c r="G17" s="6">
        <v>213.32878165409483</v>
      </c>
      <c r="H17" s="6">
        <v>222.19187769396552</v>
      </c>
      <c r="I17" s="6">
        <v>233.3723733836207</v>
      </c>
    </row>
    <row r="18" spans="1:12" x14ac:dyDescent="0.3">
      <c r="A18">
        <f>2*A9</f>
        <v>1500000</v>
      </c>
      <c r="B18" s="6">
        <v>227.77141696663895</v>
      </c>
      <c r="D18" s="3">
        <v>1119994.8964076973</v>
      </c>
      <c r="E18" s="6">
        <v>211.87223868534483</v>
      </c>
      <c r="F18" s="6">
        <v>215.51213968211206</v>
      </c>
      <c r="G18" s="6">
        <v>221.63884024784483</v>
      </c>
      <c r="H18" s="6">
        <v>230.1943359375</v>
      </c>
      <c r="I18" s="6">
        <v>241.02161907327587</v>
      </c>
    </row>
    <row r="19" spans="1:12" x14ac:dyDescent="0.3">
      <c r="A19">
        <f>2*A10</f>
        <v>2000000</v>
      </c>
      <c r="B19" s="6">
        <v>173.04268223820105</v>
      </c>
      <c r="D19" s="3">
        <v>1162223.0906142602</v>
      </c>
      <c r="E19" s="6">
        <v>219.64466594827587</v>
      </c>
      <c r="F19" s="6">
        <v>223.16239560883622</v>
      </c>
      <c r="G19" s="6">
        <v>229.09371632543105</v>
      </c>
      <c r="H19" s="6">
        <v>237.39382408405172</v>
      </c>
      <c r="I19" s="6">
        <v>247.92594962284483</v>
      </c>
    </row>
    <row r="20" spans="1:12" x14ac:dyDescent="0.3">
      <c r="D20" s="3">
        <v>1199438.0730619365</v>
      </c>
      <c r="E20" s="6">
        <v>226.51555765086206</v>
      </c>
      <c r="F20" s="6">
        <v>229.93286974676724</v>
      </c>
      <c r="G20" s="6">
        <v>235.70309132543105</v>
      </c>
      <c r="H20" s="6">
        <v>243.79205953663794</v>
      </c>
      <c r="I20" s="6">
        <v>254.07832704741378</v>
      </c>
    </row>
    <row r="21" spans="1:12" x14ac:dyDescent="0.3">
      <c r="D21" s="3">
        <v>1231740.425379971</v>
      </c>
      <c r="E21" s="6">
        <v>232.49700296336206</v>
      </c>
      <c r="F21" s="6">
        <v>235.83273841594828</v>
      </c>
      <c r="G21" s="6">
        <v>241.47036637931035</v>
      </c>
      <c r="H21" s="6">
        <v>249.38567483836206</v>
      </c>
      <c r="I21" s="6">
        <v>259.46864897629308</v>
      </c>
    </row>
    <row r="22" spans="1:12" x14ac:dyDescent="0.3">
      <c r="D22" s="3">
        <v>1259186.9693635169</v>
      </c>
      <c r="E22" s="6">
        <v>237.59351427801724</v>
      </c>
      <c r="F22" s="6">
        <v>240.86235519935346</v>
      </c>
      <c r="G22" s="6">
        <v>246.39301589439654</v>
      </c>
      <c r="H22" s="6">
        <v>254.16732893318965</v>
      </c>
      <c r="I22" s="6">
        <v>264.08459051724139</v>
      </c>
    </row>
    <row r="23" spans="1:12" x14ac:dyDescent="0.3">
      <c r="D23" s="3">
        <v>1281796.4922882796</v>
      </c>
      <c r="E23" s="6">
        <v>241.80150525323276</v>
      </c>
      <c r="F23" s="6">
        <v>245.01769598599137</v>
      </c>
      <c r="G23" s="6">
        <v>250.46366514008622</v>
      </c>
      <c r="H23" s="6">
        <v>258.12621228448273</v>
      </c>
      <c r="I23" s="6">
        <v>267.91170528017244</v>
      </c>
    </row>
    <row r="24" spans="1:12" x14ac:dyDescent="0.3">
      <c r="D24" s="3">
        <v>1299550.942607244</v>
      </c>
      <c r="E24" s="6">
        <v>245.11240571120689</v>
      </c>
      <c r="F24" s="6">
        <v>248.28859105603448</v>
      </c>
      <c r="G24" s="6">
        <v>253.67012392241378</v>
      </c>
      <c r="H24" s="6">
        <v>261.24730603448273</v>
      </c>
      <c r="I24" s="6">
        <v>270.93214574353448</v>
      </c>
    </row>
    <row r="25" spans="1:12" x14ac:dyDescent="0.3">
      <c r="D25" s="3">
        <v>1312393.2058382574</v>
      </c>
      <c r="E25" s="6">
        <v>247.51097790948276</v>
      </c>
      <c r="F25" s="6">
        <v>250.65884294181035</v>
      </c>
      <c r="G25" s="6">
        <v>255.9948141163793</v>
      </c>
      <c r="H25" s="6">
        <v>263.51171875</v>
      </c>
      <c r="I25" s="6">
        <v>273.12526939655174</v>
      </c>
    </row>
    <row r="26" spans="1:12" x14ac:dyDescent="0.3">
      <c r="D26" s="3">
        <v>1320223.2960795225</v>
      </c>
      <c r="E26" s="6">
        <v>248.97494612068965</v>
      </c>
      <c r="F26" s="6">
        <v>252.10587284482759</v>
      </c>
      <c r="G26" s="6">
        <v>257.41456761853448</v>
      </c>
      <c r="H26" s="6">
        <v>264.89523841594826</v>
      </c>
      <c r="I26" s="6">
        <v>274.46595501077587</v>
      </c>
    </row>
    <row r="27" spans="1:12" x14ac:dyDescent="0.3">
      <c r="D27" s="3">
        <v>1322891.5977728432</v>
      </c>
      <c r="E27" s="6">
        <v>249.47412109375</v>
      </c>
      <c r="F27" s="6">
        <v>252.5993063038793</v>
      </c>
      <c r="G27" s="6">
        <v>257.89877424568965</v>
      </c>
      <c r="H27" s="6">
        <v>265.3671875</v>
      </c>
      <c r="I27" s="6">
        <v>274.92328933189657</v>
      </c>
    </row>
    <row r="29" spans="1:12" x14ac:dyDescent="0.3">
      <c r="E29" t="s">
        <v>85</v>
      </c>
      <c r="J29" t="s">
        <v>86</v>
      </c>
    </row>
    <row r="30" spans="1:12" x14ac:dyDescent="0.3">
      <c r="D30" t="s">
        <v>82</v>
      </c>
      <c r="E30" t="s">
        <v>71</v>
      </c>
      <c r="F30" t="s">
        <v>83</v>
      </c>
      <c r="G30" t="s">
        <v>84</v>
      </c>
      <c r="I30" t="s">
        <v>82</v>
      </c>
      <c r="J30" t="s">
        <v>71</v>
      </c>
      <c r="K30" t="s">
        <v>83</v>
      </c>
      <c r="L30" t="s">
        <v>84</v>
      </c>
    </row>
    <row r="31" spans="1:12" x14ac:dyDescent="0.3">
      <c r="D31" s="3">
        <v>20</v>
      </c>
      <c r="E31" s="4">
        <v>0.96</v>
      </c>
      <c r="F31" s="6">
        <v>182</v>
      </c>
      <c r="G31" s="6">
        <f>300-F31</f>
        <v>118</v>
      </c>
      <c r="I31" s="3">
        <v>20</v>
      </c>
      <c r="J31" s="4">
        <v>0.96</v>
      </c>
      <c r="K31" s="6">
        <v>245</v>
      </c>
      <c r="L31" s="6">
        <f>300-K31</f>
        <v>55</v>
      </c>
    </row>
    <row r="32" spans="1:12" x14ac:dyDescent="0.3">
      <c r="D32" s="3">
        <v>40</v>
      </c>
      <c r="E32" s="4">
        <v>0.94499999999999995</v>
      </c>
      <c r="F32" s="6">
        <v>185</v>
      </c>
      <c r="G32" s="6">
        <f>300-F32</f>
        <v>115</v>
      </c>
      <c r="I32" s="3">
        <v>40</v>
      </c>
      <c r="J32" s="4">
        <v>0.94499999999999995</v>
      </c>
      <c r="K32" s="6">
        <v>246</v>
      </c>
      <c r="L32" s="6">
        <f>300-K32</f>
        <v>54</v>
      </c>
    </row>
    <row r="33" spans="4:12" x14ac:dyDescent="0.3">
      <c r="D33" s="3">
        <v>60</v>
      </c>
      <c r="E33" s="4">
        <v>0.93</v>
      </c>
      <c r="F33" s="6">
        <v>188</v>
      </c>
      <c r="G33" s="6">
        <f>300-F33</f>
        <v>112</v>
      </c>
      <c r="I33" s="3">
        <v>60</v>
      </c>
      <c r="J33" s="4">
        <v>0.93</v>
      </c>
      <c r="K33" s="6">
        <v>247.5</v>
      </c>
      <c r="L33" s="6">
        <f>300-K33</f>
        <v>52.5</v>
      </c>
    </row>
    <row r="34" spans="4:12" x14ac:dyDescent="0.3">
      <c r="D34" s="3">
        <v>80</v>
      </c>
      <c r="E34" s="4">
        <v>0.90500000000000003</v>
      </c>
      <c r="F34" s="6">
        <v>194</v>
      </c>
      <c r="G34" s="6">
        <f>300-F34</f>
        <v>106</v>
      </c>
      <c r="I34" s="3">
        <v>80</v>
      </c>
      <c r="J34" s="4">
        <v>0.90500000000000003</v>
      </c>
      <c r="K34" s="6">
        <v>250</v>
      </c>
      <c r="L34" s="6">
        <f>300-K34</f>
        <v>50</v>
      </c>
    </row>
    <row r="35" spans="4:12" x14ac:dyDescent="0.3">
      <c r="D35" s="3">
        <v>100</v>
      </c>
      <c r="E35" s="4">
        <v>0.87</v>
      </c>
      <c r="F35" s="6">
        <v>202</v>
      </c>
      <c r="G35" s="6">
        <f>300-F35</f>
        <v>98</v>
      </c>
      <c r="I35" s="3">
        <v>100</v>
      </c>
      <c r="J35" s="4">
        <v>0.87</v>
      </c>
      <c r="K35" s="6">
        <v>256</v>
      </c>
      <c r="L35" s="6">
        <f>300-K35</f>
        <v>44</v>
      </c>
    </row>
  </sheetData>
  <sortState xmlns:xlrd2="http://schemas.microsoft.com/office/spreadsheetml/2017/richdata2" ref="D7:I27">
    <sortCondition ref="D7"/>
  </sortState>
  <mergeCells count="1">
    <mergeCell ref="E5:I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N33"/>
  <sheetViews>
    <sheetView tabSelected="1" topLeftCell="G7" workbookViewId="0">
      <selection activeCell="N27" sqref="N27"/>
    </sheetView>
  </sheetViews>
  <sheetFormatPr defaultColWidth="9.109375" defaultRowHeight="14.4" x14ac:dyDescent="0.3"/>
  <cols>
    <col min="1" max="1" width="12.6640625" style="14" customWidth="1"/>
    <col min="2" max="5" width="9.6640625" style="14" customWidth="1"/>
    <col min="6" max="7" width="9.109375" style="14"/>
    <col min="8" max="8" width="9.88671875" style="14" customWidth="1"/>
    <col min="9" max="16384" width="9.109375" style="14"/>
  </cols>
  <sheetData>
    <row r="1" spans="1:10" x14ac:dyDescent="0.3">
      <c r="A1" s="13" t="s">
        <v>36</v>
      </c>
    </row>
    <row r="3" spans="1:10" x14ac:dyDescent="0.3">
      <c r="A3" s="14" t="s">
        <v>44</v>
      </c>
    </row>
    <row r="4" spans="1:10" x14ac:dyDescent="0.3">
      <c r="A4" s="19"/>
    </row>
    <row r="5" spans="1:10" x14ac:dyDescent="0.3">
      <c r="A5" s="14" t="s">
        <v>8</v>
      </c>
      <c r="B5" s="16">
        <v>85</v>
      </c>
      <c r="C5" s="18" t="s">
        <v>9</v>
      </c>
    </row>
    <row r="6" spans="1:10" ht="15.6" x14ac:dyDescent="0.3">
      <c r="A6" s="18" t="s">
        <v>40</v>
      </c>
      <c r="B6" s="14">
        <v>241.5</v>
      </c>
      <c r="C6" s="14" t="s">
        <v>14</v>
      </c>
      <c r="G6" s="27"/>
      <c r="H6" s="17"/>
    </row>
    <row r="8" spans="1:10" x14ac:dyDescent="0.3">
      <c r="A8" s="18" t="s">
        <v>34</v>
      </c>
      <c r="B8" s="15" t="s">
        <v>41</v>
      </c>
      <c r="C8" s="34" t="s">
        <v>42</v>
      </c>
      <c r="D8" s="34"/>
      <c r="E8" s="34"/>
    </row>
    <row r="9" spans="1:10" x14ac:dyDescent="0.3">
      <c r="A9" s="18"/>
      <c r="B9" s="15" t="s">
        <v>35</v>
      </c>
      <c r="C9" s="15" t="s">
        <v>37</v>
      </c>
      <c r="D9" s="15" t="s">
        <v>38</v>
      </c>
      <c r="E9" s="15" t="s">
        <v>39</v>
      </c>
      <c r="G9" s="14" t="s">
        <v>64</v>
      </c>
      <c r="H9" s="14" t="s">
        <v>63</v>
      </c>
      <c r="I9" s="14" t="s">
        <v>65</v>
      </c>
      <c r="J9" s="14" t="s">
        <v>66</v>
      </c>
    </row>
    <row r="10" spans="1:10" x14ac:dyDescent="0.3">
      <c r="A10" s="20">
        <v>39083</v>
      </c>
      <c r="B10" s="17">
        <v>0</v>
      </c>
      <c r="C10" s="17">
        <v>241.37931034482759</v>
      </c>
      <c r="D10" s="17" t="s">
        <v>43</v>
      </c>
      <c r="E10" s="17" t="s">
        <v>43</v>
      </c>
      <c r="G10" s="17">
        <f>B10</f>
        <v>0</v>
      </c>
      <c r="H10" s="17">
        <f>SUM(C10:E10)</f>
        <v>241.37931034482759</v>
      </c>
      <c r="I10" s="14">
        <f>VLOOKUP(H10, PVT_data!$A$9:$E$33,2)</f>
        <v>0.90213445990294239</v>
      </c>
      <c r="J10" s="14">
        <f>H10/I10</f>
        <v>267.56467142469734</v>
      </c>
    </row>
    <row r="11" spans="1:10" x14ac:dyDescent="0.3">
      <c r="A11" s="20">
        <v>39402</v>
      </c>
      <c r="B11" s="17">
        <v>93.398699616161721</v>
      </c>
      <c r="C11" s="17">
        <v>230.31659326805575</v>
      </c>
      <c r="D11" s="17" t="s">
        <v>43</v>
      </c>
      <c r="E11" s="17" t="s">
        <v>43</v>
      </c>
      <c r="G11" s="17">
        <f t="shared" ref="G11:G33" si="0">B11</f>
        <v>93.398699616161721</v>
      </c>
      <c r="H11" s="17">
        <f t="shared" ref="H11:H33" si="1">SUM(C11:E11)</f>
        <v>230.31659326805575</v>
      </c>
      <c r="I11" s="14">
        <f>VLOOKUP(H11, PVT_data!$A$9:$E$33,2)</f>
        <v>0.89343435558387629</v>
      </c>
      <c r="J11" s="14">
        <f t="shared" ref="J11:J33" si="2">H11/I11</f>
        <v>257.78793016923947</v>
      </c>
    </row>
    <row r="12" spans="1:10" x14ac:dyDescent="0.3">
      <c r="A12" s="20">
        <v>39490</v>
      </c>
      <c r="B12" s="17">
        <v>112.18348413961107</v>
      </c>
      <c r="C12" s="17" t="s">
        <v>43</v>
      </c>
      <c r="D12" s="17" t="s">
        <v>43</v>
      </c>
      <c r="E12" s="17">
        <v>225.52239066298188</v>
      </c>
      <c r="G12" s="17">
        <f t="shared" si="0"/>
        <v>112.18348413961107</v>
      </c>
      <c r="H12" s="17">
        <f t="shared" si="1"/>
        <v>225.52239066298188</v>
      </c>
      <c r="I12" s="14">
        <f>VLOOKUP(H12, PVT_data!$A$9:$E$33,2)</f>
        <v>0.89343435558387629</v>
      </c>
      <c r="J12" s="14">
        <f t="shared" si="2"/>
        <v>252.421892278363</v>
      </c>
    </row>
    <row r="13" spans="1:10" x14ac:dyDescent="0.3">
      <c r="A13" s="20">
        <v>39525</v>
      </c>
      <c r="B13" s="17">
        <v>140.27603437787351</v>
      </c>
      <c r="C13" s="17">
        <v>222.66488062328838</v>
      </c>
      <c r="D13" s="17" t="s">
        <v>43</v>
      </c>
      <c r="E13" s="17" t="s">
        <v>43</v>
      </c>
      <c r="G13" s="17">
        <f t="shared" si="0"/>
        <v>140.27603437787351</v>
      </c>
      <c r="H13" s="17">
        <f t="shared" si="1"/>
        <v>222.66488062328838</v>
      </c>
      <c r="I13" s="14">
        <f>VLOOKUP(H13, PVT_data!$A$9:$E$33,2)</f>
        <v>0.88641532739938678</v>
      </c>
      <c r="J13" s="14">
        <f t="shared" si="2"/>
        <v>251.19701086008368</v>
      </c>
    </row>
    <row r="14" spans="1:10" x14ac:dyDescent="0.3">
      <c r="A14" s="20">
        <v>39788</v>
      </c>
      <c r="B14" s="17">
        <v>311.9268335076186</v>
      </c>
      <c r="C14" s="17" t="s">
        <v>43</v>
      </c>
      <c r="D14" s="17">
        <v>208.16483026869216</v>
      </c>
      <c r="E14" s="17" t="s">
        <v>43</v>
      </c>
      <c r="G14" s="17">
        <f t="shared" si="0"/>
        <v>311.9268335076186</v>
      </c>
      <c r="H14" s="17">
        <f t="shared" si="1"/>
        <v>208.16483026869216</v>
      </c>
      <c r="I14" s="14">
        <f>VLOOKUP(H14, PVT_data!$A$9:$E$33,2)</f>
        <v>0.88125989279831751</v>
      </c>
      <c r="J14" s="14">
        <f t="shared" si="2"/>
        <v>236.21275854015533</v>
      </c>
    </row>
    <row r="15" spans="1:10" x14ac:dyDescent="0.3">
      <c r="A15" s="20">
        <v>39796</v>
      </c>
      <c r="B15" s="17">
        <v>319.17319163624359</v>
      </c>
      <c r="C15" s="17" t="s">
        <v>43</v>
      </c>
      <c r="D15" s="17" t="s">
        <v>43</v>
      </c>
      <c r="E15" s="17">
        <v>188.79053874174474</v>
      </c>
      <c r="G15" s="17">
        <f t="shared" si="0"/>
        <v>319.17319163624359</v>
      </c>
      <c r="H15" s="17">
        <f t="shared" si="1"/>
        <v>188.79053874174474</v>
      </c>
      <c r="I15" s="14">
        <f>VLOOKUP(H15, PVT_data!$A$9:$E$33,2)</f>
        <v>0.87813484488652016</v>
      </c>
      <c r="J15" s="14">
        <f t="shared" si="2"/>
        <v>214.99037401954118</v>
      </c>
    </row>
    <row r="16" spans="1:10" x14ac:dyDescent="0.3">
      <c r="A16" s="20">
        <v>39832</v>
      </c>
      <c r="B16" s="17">
        <v>351.3166193793312</v>
      </c>
      <c r="C16" s="17" t="s">
        <v>43</v>
      </c>
      <c r="D16" s="17" t="s">
        <v>43</v>
      </c>
      <c r="E16" s="17">
        <v>186.58261321642422</v>
      </c>
      <c r="G16" s="17">
        <f t="shared" si="0"/>
        <v>351.3166193793312</v>
      </c>
      <c r="H16" s="17">
        <f t="shared" si="1"/>
        <v>186.58261321642422</v>
      </c>
      <c r="I16" s="14">
        <f>VLOOKUP(H16, PVT_data!$A$9:$E$33,2)</f>
        <v>0.87813484488652016</v>
      </c>
      <c r="J16" s="14">
        <f t="shared" si="2"/>
        <v>212.47603862085211</v>
      </c>
    </row>
    <row r="17" spans="1:14" x14ac:dyDescent="0.3">
      <c r="A17" s="20">
        <v>40239</v>
      </c>
      <c r="B17" s="17">
        <v>676.83256215254596</v>
      </c>
      <c r="C17" s="17" t="s">
        <v>43</v>
      </c>
      <c r="D17" s="17" t="s">
        <v>43</v>
      </c>
      <c r="E17" s="17">
        <v>164.80443871667447</v>
      </c>
      <c r="G17" s="17">
        <f t="shared" si="0"/>
        <v>676.83256215254596</v>
      </c>
      <c r="H17" s="17">
        <f t="shared" si="1"/>
        <v>164.80443871667447</v>
      </c>
      <c r="I17" s="14">
        <f>VLOOKUP(H17, PVT_data!$A$9:$E$33,2)</f>
        <v>0.8784786156384693</v>
      </c>
      <c r="J17" s="14">
        <f t="shared" si="2"/>
        <v>187.6021063949249</v>
      </c>
    </row>
    <row r="18" spans="1:14" x14ac:dyDescent="0.3">
      <c r="A18" s="20">
        <v>40281</v>
      </c>
      <c r="B18" s="17">
        <v>704.65134153338465</v>
      </c>
      <c r="C18" s="17">
        <v>165.13875182407469</v>
      </c>
      <c r="D18" s="17" t="s">
        <v>43</v>
      </c>
      <c r="E18" s="17" t="s">
        <v>43</v>
      </c>
      <c r="G18" s="17">
        <f t="shared" si="0"/>
        <v>704.65134153338465</v>
      </c>
      <c r="H18" s="17">
        <f t="shared" si="1"/>
        <v>165.13875182407469</v>
      </c>
      <c r="I18" s="14">
        <f>VLOOKUP(H18, PVT_data!$A$9:$E$33,2)</f>
        <v>0.87717695440303156</v>
      </c>
      <c r="J18" s="14">
        <f t="shared" si="2"/>
        <v>188.261616992048</v>
      </c>
    </row>
    <row r="19" spans="1:14" x14ac:dyDescent="0.3">
      <c r="A19" s="20">
        <v>40282</v>
      </c>
      <c r="B19" s="17">
        <v>705.53714944413468</v>
      </c>
      <c r="C19" s="17" t="s">
        <v>43</v>
      </c>
      <c r="D19" s="17">
        <v>172.11240411010181</v>
      </c>
      <c r="E19" s="17" t="s">
        <v>43</v>
      </c>
      <c r="G19" s="17">
        <f t="shared" si="0"/>
        <v>705.53714944413468</v>
      </c>
      <c r="H19" s="17">
        <f t="shared" si="1"/>
        <v>172.11240411010181</v>
      </c>
      <c r="I19" s="14">
        <f>VLOOKUP(H19, PVT_data!$A$9:$E$33,2)</f>
        <v>0.87717695440303156</v>
      </c>
      <c r="J19" s="14">
        <f t="shared" si="2"/>
        <v>196.21172586235352</v>
      </c>
    </row>
    <row r="20" spans="1:14" x14ac:dyDescent="0.3">
      <c r="A20" s="20">
        <v>40298</v>
      </c>
      <c r="B20" s="17">
        <v>715.80166608413469</v>
      </c>
      <c r="C20" s="17" t="s">
        <v>43</v>
      </c>
      <c r="D20" s="17" t="s">
        <v>43</v>
      </c>
      <c r="E20" s="17">
        <v>160.9907491729393</v>
      </c>
      <c r="G20" s="17">
        <f t="shared" si="0"/>
        <v>715.80166608413469</v>
      </c>
      <c r="H20" s="17">
        <f t="shared" si="1"/>
        <v>160.9907491729393</v>
      </c>
      <c r="I20" s="14">
        <f>VLOOKUP(H20, PVT_data!$A$9:$E$33,2)</f>
        <v>0.8784786156384693</v>
      </c>
      <c r="J20" s="14">
        <f t="shared" si="2"/>
        <v>183.2608629362399</v>
      </c>
    </row>
    <row r="21" spans="1:14" x14ac:dyDescent="0.3">
      <c r="A21" s="20">
        <v>40345</v>
      </c>
      <c r="B21" s="17">
        <v>751.15686426575917</v>
      </c>
      <c r="C21" s="17">
        <v>154.35260267422228</v>
      </c>
      <c r="D21" s="17" t="s">
        <v>43</v>
      </c>
      <c r="E21" s="17" t="s">
        <v>43</v>
      </c>
      <c r="G21" s="17">
        <f t="shared" si="0"/>
        <v>751.15686426575917</v>
      </c>
      <c r="H21" s="17">
        <f t="shared" si="1"/>
        <v>154.35260267422228</v>
      </c>
      <c r="I21" s="14">
        <f>VLOOKUP(H21, PVT_data!$A$9:$E$33,2)</f>
        <v>0.8784786156384693</v>
      </c>
      <c r="J21" s="14">
        <f t="shared" si="2"/>
        <v>175.70445077031314</v>
      </c>
    </row>
    <row r="22" spans="1:14" x14ac:dyDescent="0.3">
      <c r="A22" s="20">
        <v>40477</v>
      </c>
      <c r="B22" s="17">
        <v>868.21197580258422</v>
      </c>
      <c r="C22" s="17">
        <v>143.56645352436948</v>
      </c>
      <c r="D22" s="17" t="s">
        <v>43</v>
      </c>
      <c r="E22" s="17" t="s">
        <v>43</v>
      </c>
      <c r="G22" s="17">
        <f t="shared" si="0"/>
        <v>868.21197580258422</v>
      </c>
      <c r="H22" s="17">
        <f t="shared" si="1"/>
        <v>143.56645352436948</v>
      </c>
      <c r="I22" s="14">
        <f>VLOOKUP(H22, PVT_data!$A$9:$E$33,2)</f>
        <v>0.88207654066348329</v>
      </c>
      <c r="J22" s="14">
        <f t="shared" si="2"/>
        <v>162.7596324196324</v>
      </c>
    </row>
    <row r="23" spans="1:14" x14ac:dyDescent="0.3">
      <c r="A23" s="20">
        <v>40522</v>
      </c>
      <c r="B23" s="17">
        <v>890.52524736795908</v>
      </c>
      <c r="C23" s="17" t="s">
        <v>43</v>
      </c>
      <c r="D23" s="17">
        <v>163.80878409106782</v>
      </c>
      <c r="E23" s="17" t="s">
        <v>43</v>
      </c>
      <c r="G23" s="17">
        <f t="shared" si="0"/>
        <v>890.52524736795908</v>
      </c>
      <c r="H23" s="17">
        <f t="shared" si="1"/>
        <v>163.80878409106782</v>
      </c>
      <c r="I23" s="14">
        <f>VLOOKUP(H23, PVT_data!$A$9:$E$33,2)</f>
        <v>0.8784786156384693</v>
      </c>
      <c r="J23" s="14">
        <f t="shared" si="2"/>
        <v>186.46872123576196</v>
      </c>
    </row>
    <row r="24" spans="1:14" x14ac:dyDescent="0.3">
      <c r="A24" s="20">
        <v>40566</v>
      </c>
      <c r="B24" s="17">
        <v>920.5952306808656</v>
      </c>
      <c r="C24" s="17" t="s">
        <v>43</v>
      </c>
      <c r="D24" s="17">
        <v>143.31250682889561</v>
      </c>
      <c r="E24" s="17" t="s">
        <v>43</v>
      </c>
      <c r="G24" s="17">
        <f t="shared" si="0"/>
        <v>920.5952306808656</v>
      </c>
      <c r="H24" s="17">
        <f t="shared" si="1"/>
        <v>143.31250682889561</v>
      </c>
      <c r="I24" s="14">
        <f>VLOOKUP(H24, PVT_data!$A$9:$E$33,2)</f>
        <v>0.88207654066348329</v>
      </c>
      <c r="J24" s="14">
        <f t="shared" si="2"/>
        <v>162.47173598007529</v>
      </c>
    </row>
    <row r="25" spans="1:14" x14ac:dyDescent="0.3">
      <c r="A25" s="20">
        <v>40601</v>
      </c>
      <c r="B25" s="17">
        <v>923.40988700924083</v>
      </c>
      <c r="C25" s="17" t="s">
        <v>43</v>
      </c>
      <c r="D25" s="17" t="s">
        <v>43</v>
      </c>
      <c r="E25" s="17">
        <v>125.16213951206059</v>
      </c>
      <c r="G25" s="17">
        <f t="shared" si="0"/>
        <v>923.40988700924083</v>
      </c>
      <c r="H25" s="17">
        <f t="shared" si="1"/>
        <v>125.16213951206059</v>
      </c>
      <c r="I25" s="14">
        <f>VLOOKUP(H25, PVT_data!$A$9:$E$33,2)</f>
        <v>0.88794646723115755</v>
      </c>
      <c r="J25" s="14">
        <f t="shared" si="2"/>
        <v>140.95685284085639</v>
      </c>
    </row>
    <row r="26" spans="1:14" x14ac:dyDescent="0.3">
      <c r="A26" s="20">
        <v>40626</v>
      </c>
      <c r="B26" s="17">
        <v>939.9011550437408</v>
      </c>
      <c r="C26" s="17" t="s">
        <v>43</v>
      </c>
      <c r="D26" s="17">
        <v>143.52272505722587</v>
      </c>
      <c r="E26" s="17" t="s">
        <v>43</v>
      </c>
      <c r="G26" s="17">
        <f t="shared" si="0"/>
        <v>939.9011550437408</v>
      </c>
      <c r="H26" s="17">
        <f t="shared" si="1"/>
        <v>143.52272505722587</v>
      </c>
      <c r="I26" s="14">
        <f>VLOOKUP(H26, PVT_data!$A$9:$E$33,2)</f>
        <v>0.88207654066348329</v>
      </c>
      <c r="J26" s="14">
        <f t="shared" si="2"/>
        <v>162.71005796080968</v>
      </c>
    </row>
    <row r="27" spans="1:14" x14ac:dyDescent="0.3">
      <c r="A27" s="20">
        <v>40716</v>
      </c>
      <c r="B27" s="17">
        <v>1014.6946283841594</v>
      </c>
      <c r="C27" s="17" t="s">
        <v>43</v>
      </c>
      <c r="D27" s="17">
        <v>118.82208322845419</v>
      </c>
      <c r="E27" s="17" t="s">
        <v>43</v>
      </c>
      <c r="G27" s="17">
        <f t="shared" si="0"/>
        <v>1014.6946283841594</v>
      </c>
      <c r="H27" s="17">
        <f t="shared" si="1"/>
        <v>118.82208322845419</v>
      </c>
      <c r="I27" s="14">
        <f>VLOOKUP(H27, PVT_data!$A$9:$E$33,2)</f>
        <v>0.89600544510057833</v>
      </c>
      <c r="J27" s="14">
        <f t="shared" si="2"/>
        <v>132.61312626857551</v>
      </c>
      <c r="M27" s="14" t="s">
        <v>67</v>
      </c>
      <c r="N27" s="14">
        <f>271.76/0.1295</f>
        <v>2098.5328185328185</v>
      </c>
    </row>
    <row r="28" spans="1:14" x14ac:dyDescent="0.3">
      <c r="A28" s="20">
        <v>40907</v>
      </c>
      <c r="B28" s="17">
        <v>1147.3079275034513</v>
      </c>
      <c r="C28" s="17">
        <v>111.1158167658389</v>
      </c>
      <c r="D28" s="17" t="s">
        <v>43</v>
      </c>
      <c r="E28" s="17" t="s">
        <v>43</v>
      </c>
      <c r="G28" s="17">
        <f t="shared" si="0"/>
        <v>1147.3079275034513</v>
      </c>
      <c r="H28" s="17">
        <f t="shared" si="1"/>
        <v>111.1158167658389</v>
      </c>
      <c r="I28" s="14">
        <f>VLOOKUP(H28, PVT_data!$A$9:$E$33,2)</f>
        <v>0.89600544510057833</v>
      </c>
      <c r="J28" s="14">
        <f t="shared" si="2"/>
        <v>124.01243471613718</v>
      </c>
      <c r="M28" s="14" t="s">
        <v>68</v>
      </c>
      <c r="N28" s="14">
        <f xml:space="preserve">             G33/N27</f>
        <v>0.73167693951985269</v>
      </c>
    </row>
    <row r="29" spans="1:14" x14ac:dyDescent="0.3">
      <c r="A29" s="20">
        <v>40913</v>
      </c>
      <c r="B29" s="17">
        <v>1151.933197503326</v>
      </c>
      <c r="C29" s="17" t="s">
        <v>43</v>
      </c>
      <c r="D29" s="17">
        <v>111.35933612274029</v>
      </c>
      <c r="E29" s="17" t="s">
        <v>43</v>
      </c>
      <c r="G29" s="17">
        <f t="shared" si="0"/>
        <v>1151.933197503326</v>
      </c>
      <c r="H29" s="17">
        <f t="shared" si="1"/>
        <v>111.35933612274029</v>
      </c>
      <c r="I29" s="14">
        <f>VLOOKUP(H29, PVT_data!$A$9:$E$33,2)</f>
        <v>0.89600544510057833</v>
      </c>
      <c r="J29" s="14">
        <f t="shared" si="2"/>
        <v>124.28421806101858</v>
      </c>
    </row>
    <row r="30" spans="1:14" x14ac:dyDescent="0.3">
      <c r="A30" s="20">
        <v>40953</v>
      </c>
      <c r="B30" s="17">
        <v>1176.1943029766312</v>
      </c>
      <c r="C30" s="17" t="s">
        <v>43</v>
      </c>
      <c r="D30" s="17" t="s">
        <v>43</v>
      </c>
      <c r="E30" s="17">
        <v>101.77820099389574</v>
      </c>
      <c r="G30" s="17">
        <f t="shared" si="0"/>
        <v>1176.1943029766312</v>
      </c>
      <c r="H30" s="17">
        <f t="shared" si="1"/>
        <v>101.77820099389574</v>
      </c>
      <c r="I30" s="14">
        <f>VLOOKUP(H30, PVT_data!$A$9:$E$33,2)</f>
        <v>0.9061211723205751</v>
      </c>
      <c r="J30" s="14">
        <f t="shared" si="2"/>
        <v>112.3229476398194</v>
      </c>
    </row>
    <row r="31" spans="1:14" x14ac:dyDescent="0.3">
      <c r="A31" s="20">
        <v>41212</v>
      </c>
      <c r="B31" s="17">
        <v>1414.3663755274099</v>
      </c>
      <c r="C31" s="17" t="s">
        <v>43</v>
      </c>
      <c r="D31" s="17">
        <v>73.30983679501513</v>
      </c>
      <c r="E31" s="17" t="s">
        <v>43</v>
      </c>
      <c r="G31" s="17">
        <f t="shared" si="0"/>
        <v>1414.3663755274099</v>
      </c>
      <c r="H31" s="17">
        <f t="shared" si="1"/>
        <v>73.30983679501513</v>
      </c>
      <c r="I31" s="14">
        <f>VLOOKUP(H31, PVT_data!$A$9:$E$33,2)</f>
        <v>0.93183290124823437</v>
      </c>
      <c r="J31" s="14">
        <f t="shared" si="2"/>
        <v>78.672728443922864</v>
      </c>
    </row>
    <row r="32" spans="1:14" x14ac:dyDescent="0.3">
      <c r="A32" s="20">
        <v>41337</v>
      </c>
      <c r="B32" s="17">
        <v>1530.408237912985</v>
      </c>
      <c r="C32" s="17" t="s">
        <v>43</v>
      </c>
      <c r="D32" s="17" t="s">
        <v>43</v>
      </c>
      <c r="E32" s="17">
        <v>46.379342358587387</v>
      </c>
      <c r="G32" s="17">
        <f t="shared" si="0"/>
        <v>1530.408237912985</v>
      </c>
      <c r="H32" s="17">
        <f t="shared" si="1"/>
        <v>46.379342358587387</v>
      </c>
      <c r="I32" s="14">
        <f>VLOOKUP(H32, PVT_data!$A$9:$E$33,2)</f>
        <v>0.94704957616891372</v>
      </c>
      <c r="J32" s="14">
        <f t="shared" si="2"/>
        <v>48.972454584906828</v>
      </c>
    </row>
    <row r="33" spans="1:10" x14ac:dyDescent="0.3">
      <c r="A33" s="20">
        <v>41346</v>
      </c>
      <c r="B33" s="17">
        <v>1535.4480701460629</v>
      </c>
      <c r="C33" s="17">
        <v>74.516661103518842</v>
      </c>
      <c r="D33" s="17" t="s">
        <v>43</v>
      </c>
      <c r="E33" s="17" t="s">
        <v>43</v>
      </c>
      <c r="G33" s="17">
        <f t="shared" si="0"/>
        <v>1535.4480701460629</v>
      </c>
      <c r="H33" s="17">
        <f t="shared" si="1"/>
        <v>74.516661103518842</v>
      </c>
      <c r="I33" s="14">
        <f>VLOOKUP(H33, PVT_data!$A$9:$E$33,2)</f>
        <v>0.93183290124823437</v>
      </c>
      <c r="J33" s="14">
        <f t="shared" si="2"/>
        <v>79.967836511997206</v>
      </c>
    </row>
  </sheetData>
  <mergeCells count="1">
    <mergeCell ref="C8:E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74E8-3995-48BA-8D9E-2E955C3FCE4A}">
  <dimension ref="A1:E35"/>
  <sheetViews>
    <sheetView topLeftCell="A10" workbookViewId="0">
      <selection activeCell="I27" sqref="I27"/>
    </sheetView>
  </sheetViews>
  <sheetFormatPr defaultRowHeight="14.4" x14ac:dyDescent="0.3"/>
  <cols>
    <col min="1" max="1" width="10.5546875" bestFit="1" customWidth="1"/>
    <col min="2" max="2" width="15" bestFit="1" customWidth="1"/>
    <col min="3" max="3" width="7.77734375" bestFit="1" customWidth="1"/>
    <col min="4" max="4" width="17.6640625" bestFit="1" customWidth="1"/>
    <col min="5" max="5" width="19.21875" bestFit="1" customWidth="1"/>
  </cols>
  <sheetData>
    <row r="1" spans="1:5" x14ac:dyDescent="0.3">
      <c r="A1" t="s">
        <v>55</v>
      </c>
      <c r="B1" t="s">
        <v>56</v>
      </c>
      <c r="C1" t="s">
        <v>57</v>
      </c>
      <c r="D1" t="s">
        <v>60</v>
      </c>
      <c r="E1" t="s">
        <v>59</v>
      </c>
    </row>
    <row r="2" spans="1:5" x14ac:dyDescent="0.3">
      <c r="A2">
        <v>0</v>
      </c>
      <c r="B2">
        <v>0.752</v>
      </c>
      <c r="C2">
        <v>100</v>
      </c>
      <c r="D2">
        <v>0</v>
      </c>
      <c r="E2">
        <v>0</v>
      </c>
    </row>
    <row r="3" spans="1:5" x14ac:dyDescent="0.3">
      <c r="A3">
        <v>1</v>
      </c>
      <c r="B3">
        <v>0.752</v>
      </c>
      <c r="C3">
        <v>100</v>
      </c>
      <c r="D3">
        <v>274.49029999999999</v>
      </c>
      <c r="E3">
        <v>0.36459999999999998</v>
      </c>
    </row>
    <row r="4" spans="1:5" x14ac:dyDescent="0.3">
      <c r="A4">
        <v>2</v>
      </c>
      <c r="B4">
        <v>0.752</v>
      </c>
      <c r="C4">
        <v>100</v>
      </c>
      <c r="D4">
        <v>548.98069999999996</v>
      </c>
      <c r="E4">
        <v>0.67669999999999997</v>
      </c>
    </row>
    <row r="5" spans="1:5" x14ac:dyDescent="0.3">
      <c r="A5">
        <v>3</v>
      </c>
      <c r="B5">
        <v>0.752</v>
      </c>
      <c r="C5">
        <v>100</v>
      </c>
      <c r="D5">
        <v>823.471</v>
      </c>
      <c r="E5">
        <v>0.95309999999999995</v>
      </c>
    </row>
    <row r="6" spans="1:5" x14ac:dyDescent="0.3">
      <c r="A6">
        <v>4</v>
      </c>
      <c r="B6">
        <v>0.752</v>
      </c>
      <c r="C6">
        <v>100</v>
      </c>
      <c r="D6">
        <v>1097.9613999999999</v>
      </c>
      <c r="E6">
        <v>1.1953</v>
      </c>
    </row>
    <row r="7" spans="1:5" x14ac:dyDescent="0.3">
      <c r="A7">
        <v>5</v>
      </c>
      <c r="B7">
        <v>0.752</v>
      </c>
      <c r="C7">
        <v>100</v>
      </c>
      <c r="D7">
        <v>1372.4517000000001</v>
      </c>
      <c r="E7">
        <v>1.4085000000000001</v>
      </c>
    </row>
    <row r="8" spans="1:5" x14ac:dyDescent="0.3">
      <c r="A8">
        <v>6</v>
      </c>
      <c r="B8">
        <v>0.752</v>
      </c>
      <c r="C8">
        <v>100</v>
      </c>
      <c r="D8">
        <v>1646.9421</v>
      </c>
      <c r="E8">
        <v>1.5969</v>
      </c>
    </row>
    <row r="9" spans="1:5" x14ac:dyDescent="0.3">
      <c r="A9">
        <v>7</v>
      </c>
      <c r="B9">
        <v>0.752</v>
      </c>
      <c r="C9">
        <v>100</v>
      </c>
      <c r="D9">
        <v>1921.4323999999999</v>
      </c>
      <c r="E9">
        <v>1.7585</v>
      </c>
    </row>
    <row r="10" spans="1:5" x14ac:dyDescent="0.3">
      <c r="A10">
        <v>8</v>
      </c>
      <c r="B10">
        <v>0.752</v>
      </c>
      <c r="C10">
        <v>60</v>
      </c>
      <c r="D10">
        <v>2195.9227999999998</v>
      </c>
      <c r="E10">
        <v>1.9026000000000001</v>
      </c>
    </row>
    <row r="11" spans="1:5" x14ac:dyDescent="0.3">
      <c r="A11">
        <v>9</v>
      </c>
      <c r="B11">
        <v>0.752</v>
      </c>
      <c r="C11">
        <v>60</v>
      </c>
      <c r="D11">
        <v>2470.4131000000002</v>
      </c>
      <c r="E11">
        <v>2.032</v>
      </c>
    </row>
    <row r="12" spans="1:5" x14ac:dyDescent="0.3">
      <c r="A12">
        <v>10</v>
      </c>
      <c r="B12">
        <v>0.752</v>
      </c>
      <c r="C12">
        <v>20</v>
      </c>
      <c r="D12">
        <v>2744.9034999999999</v>
      </c>
      <c r="E12">
        <v>2.1427999999999998</v>
      </c>
    </row>
    <row r="13" spans="1:5" x14ac:dyDescent="0.3">
      <c r="A13">
        <v>11</v>
      </c>
      <c r="B13">
        <v>0.69199999999999995</v>
      </c>
      <c r="C13">
        <v>20</v>
      </c>
      <c r="D13">
        <v>3293.8842</v>
      </c>
      <c r="E13">
        <v>2.3325999999999998</v>
      </c>
    </row>
    <row r="14" spans="1:5" x14ac:dyDescent="0.3">
      <c r="A14">
        <v>12</v>
      </c>
      <c r="B14">
        <v>0.65400000000000003</v>
      </c>
      <c r="C14">
        <v>20</v>
      </c>
      <c r="D14">
        <v>3546.4483</v>
      </c>
      <c r="E14">
        <v>2.4047999999999998</v>
      </c>
    </row>
    <row r="15" spans="1:5" x14ac:dyDescent="0.3">
      <c r="A15">
        <v>13</v>
      </c>
      <c r="B15">
        <v>0.61829999999999996</v>
      </c>
      <c r="C15">
        <v>20</v>
      </c>
      <c r="D15">
        <v>3785.1604000000002</v>
      </c>
      <c r="E15">
        <v>2.4693000000000001</v>
      </c>
    </row>
    <row r="16" spans="1:5" x14ac:dyDescent="0.3">
      <c r="A16">
        <v>14</v>
      </c>
      <c r="B16">
        <v>0.58550000000000002</v>
      </c>
      <c r="C16">
        <v>20</v>
      </c>
      <c r="D16">
        <v>4010.8321000000001</v>
      </c>
      <c r="E16">
        <v>2.5215000000000001</v>
      </c>
    </row>
    <row r="17" spans="1:5" x14ac:dyDescent="0.3">
      <c r="A17">
        <v>15</v>
      </c>
      <c r="B17">
        <v>0.55449999999999999</v>
      </c>
      <c r="C17">
        <v>20</v>
      </c>
      <c r="D17">
        <v>4224.5528000000004</v>
      </c>
      <c r="E17">
        <v>2.5695999999999999</v>
      </c>
    </row>
    <row r="18" spans="1:5" x14ac:dyDescent="0.3">
      <c r="A18">
        <v>16</v>
      </c>
      <c r="B18">
        <v>0.52549999999999997</v>
      </c>
      <c r="C18">
        <v>20</v>
      </c>
      <c r="D18">
        <v>4426.9278000000004</v>
      </c>
      <c r="E18">
        <v>2.6095999999999999</v>
      </c>
    </row>
    <row r="19" spans="1:5" x14ac:dyDescent="0.3">
      <c r="A19">
        <v>17</v>
      </c>
      <c r="B19">
        <v>0.498</v>
      </c>
      <c r="C19">
        <v>20</v>
      </c>
      <c r="D19">
        <v>4618.7264999999998</v>
      </c>
      <c r="E19">
        <v>2.6465000000000001</v>
      </c>
    </row>
    <row r="20" spans="1:5" x14ac:dyDescent="0.3">
      <c r="A20">
        <v>18</v>
      </c>
      <c r="B20">
        <v>0.47199999999999998</v>
      </c>
      <c r="C20">
        <v>20</v>
      </c>
      <c r="D20">
        <v>4800.4795000000004</v>
      </c>
      <c r="E20">
        <v>2.6789999999999998</v>
      </c>
    </row>
    <row r="21" spans="1:5" x14ac:dyDescent="0.3">
      <c r="A21">
        <v>19</v>
      </c>
      <c r="B21">
        <v>0.44750000000000001</v>
      </c>
      <c r="C21">
        <v>20</v>
      </c>
      <c r="D21">
        <v>4972.7592000000004</v>
      </c>
      <c r="E21">
        <v>2.7078000000000002</v>
      </c>
    </row>
    <row r="22" spans="1:5" x14ac:dyDescent="0.3">
      <c r="A22">
        <v>20</v>
      </c>
      <c r="B22">
        <v>0.42409999999999998</v>
      </c>
      <c r="C22">
        <v>20</v>
      </c>
      <c r="D22">
        <v>5136.0914000000002</v>
      </c>
      <c r="E22">
        <v>2.7349000000000001</v>
      </c>
    </row>
    <row r="23" spans="1:5" x14ac:dyDescent="0.3">
      <c r="A23">
        <v>21</v>
      </c>
      <c r="B23">
        <v>0.40189999999999998</v>
      </c>
      <c r="C23">
        <v>20</v>
      </c>
      <c r="D23">
        <v>5290.8876</v>
      </c>
      <c r="E23">
        <v>2.7584</v>
      </c>
    </row>
    <row r="24" spans="1:5" x14ac:dyDescent="0.3">
      <c r="A24">
        <v>22</v>
      </c>
      <c r="B24">
        <v>0.38080000000000003</v>
      </c>
      <c r="C24">
        <v>20</v>
      </c>
      <c r="D24">
        <v>5437.5685999999996</v>
      </c>
      <c r="E24">
        <v>2.7801</v>
      </c>
    </row>
    <row r="25" spans="1:5" x14ac:dyDescent="0.3">
      <c r="A25">
        <v>23</v>
      </c>
      <c r="B25">
        <v>0.36070000000000002</v>
      </c>
      <c r="C25">
        <v>20</v>
      </c>
      <c r="D25">
        <v>5576.5483000000004</v>
      </c>
      <c r="E25">
        <v>2.8007</v>
      </c>
    </row>
    <row r="26" spans="1:5" x14ac:dyDescent="0.3">
      <c r="A26">
        <v>24</v>
      </c>
      <c r="B26">
        <v>0.3417</v>
      </c>
      <c r="C26">
        <v>20</v>
      </c>
      <c r="D26">
        <v>5708.1952000000001</v>
      </c>
      <c r="E26">
        <v>2.8193000000000001</v>
      </c>
    </row>
    <row r="27" spans="1:5" x14ac:dyDescent="0.3">
      <c r="A27">
        <v>25</v>
      </c>
      <c r="B27">
        <v>0.32369999999999999</v>
      </c>
      <c r="C27">
        <v>20</v>
      </c>
      <c r="D27">
        <v>5832.9080000000004</v>
      </c>
      <c r="E27">
        <v>2.8363</v>
      </c>
    </row>
    <row r="28" spans="1:5" x14ac:dyDescent="0.3">
      <c r="A28">
        <v>26</v>
      </c>
      <c r="B28">
        <v>0.30659999999999998</v>
      </c>
      <c r="C28">
        <v>20</v>
      </c>
      <c r="D28">
        <v>5951.0568000000003</v>
      </c>
      <c r="E28">
        <v>2.8525999999999998</v>
      </c>
    </row>
    <row r="29" spans="1:5" x14ac:dyDescent="0.3">
      <c r="A29">
        <v>27</v>
      </c>
      <c r="B29">
        <v>0.2903</v>
      </c>
      <c r="C29">
        <v>20</v>
      </c>
      <c r="D29">
        <v>6062.9561000000003</v>
      </c>
      <c r="E29">
        <v>2.8681999999999999</v>
      </c>
    </row>
    <row r="30" spans="1:5" x14ac:dyDescent="0.3">
      <c r="A30">
        <v>28</v>
      </c>
      <c r="B30">
        <v>0.27489999999999998</v>
      </c>
      <c r="C30">
        <v>20</v>
      </c>
      <c r="D30">
        <v>6168.9089999999997</v>
      </c>
      <c r="E30">
        <v>2.8822999999999999</v>
      </c>
    </row>
    <row r="31" spans="1:5" x14ac:dyDescent="0.3">
      <c r="A31">
        <v>29</v>
      </c>
      <c r="B31">
        <v>0.2581</v>
      </c>
      <c r="C31">
        <v>20</v>
      </c>
      <c r="D31">
        <v>6269.2435999999998</v>
      </c>
      <c r="E31">
        <v>2.8955000000000002</v>
      </c>
    </row>
    <row r="32" spans="1:5" x14ac:dyDescent="0.3">
      <c r="A32">
        <v>30</v>
      </c>
      <c r="B32">
        <v>0.24099999999999999</v>
      </c>
      <c r="C32">
        <v>20</v>
      </c>
      <c r="D32">
        <v>6363.4444999999996</v>
      </c>
      <c r="E32">
        <v>2.9081000000000001</v>
      </c>
    </row>
    <row r="33" spans="1:5" x14ac:dyDescent="0.3">
      <c r="A33">
        <v>31</v>
      </c>
      <c r="B33">
        <v>0.22509999999999999</v>
      </c>
      <c r="C33">
        <v>20</v>
      </c>
      <c r="D33">
        <v>6451.4205000000002</v>
      </c>
      <c r="E33">
        <v>2.9201000000000001</v>
      </c>
    </row>
    <row r="34" spans="1:5" x14ac:dyDescent="0.3">
      <c r="A34">
        <v>32</v>
      </c>
      <c r="B34">
        <v>0.21010000000000001</v>
      </c>
      <c r="C34">
        <v>20</v>
      </c>
      <c r="D34">
        <v>6533.5643</v>
      </c>
      <c r="E34">
        <v>2.9315000000000002</v>
      </c>
    </row>
    <row r="35" spans="1:5" x14ac:dyDescent="0.3">
      <c r="A35">
        <v>33</v>
      </c>
      <c r="B35">
        <v>0.1961</v>
      </c>
      <c r="C35">
        <v>20</v>
      </c>
      <c r="D35">
        <v>6610.2475000000004</v>
      </c>
      <c r="E35">
        <v>2.9418000000000002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A4FD-A76F-48AC-88AD-33B9000E8A4B}">
  <dimension ref="A1:E27"/>
  <sheetViews>
    <sheetView workbookViewId="0">
      <selection activeCell="B2" sqref="B2:B27"/>
    </sheetView>
  </sheetViews>
  <sheetFormatPr defaultRowHeight="14.4" x14ac:dyDescent="0.3"/>
  <cols>
    <col min="1" max="1" width="10.5546875" bestFit="1" customWidth="1"/>
    <col min="2" max="2" width="15" bestFit="1" customWidth="1"/>
    <col min="3" max="3" width="7.77734375" bestFit="1" customWidth="1"/>
    <col min="4" max="4" width="17.6640625" bestFit="1" customWidth="1"/>
    <col min="5" max="5" width="19.21875" bestFit="1" customWidth="1"/>
  </cols>
  <sheetData>
    <row r="1" spans="1:5" x14ac:dyDescent="0.3">
      <c r="A1" t="s">
        <v>55</v>
      </c>
      <c r="B1" t="s">
        <v>56</v>
      </c>
      <c r="C1" t="s">
        <v>57</v>
      </c>
      <c r="D1" t="s">
        <v>60</v>
      </c>
      <c r="E1" t="s">
        <v>59</v>
      </c>
    </row>
    <row r="2" spans="1:5" x14ac:dyDescent="0.3">
      <c r="A2">
        <v>0</v>
      </c>
      <c r="B2">
        <v>0.67020000000000002</v>
      </c>
      <c r="C2">
        <v>100</v>
      </c>
      <c r="D2">
        <v>0</v>
      </c>
      <c r="E2">
        <v>0</v>
      </c>
    </row>
    <row r="3" spans="1:5" x14ac:dyDescent="0.3">
      <c r="A3">
        <v>1</v>
      </c>
      <c r="B3">
        <v>0.67020000000000002</v>
      </c>
      <c r="C3">
        <v>100</v>
      </c>
      <c r="D3">
        <v>244.63069999999999</v>
      </c>
      <c r="E3">
        <v>0.31909999999999999</v>
      </c>
    </row>
    <row r="4" spans="1:5" x14ac:dyDescent="0.3">
      <c r="A4">
        <v>2</v>
      </c>
      <c r="B4">
        <v>0.67020000000000002</v>
      </c>
      <c r="C4">
        <v>100</v>
      </c>
      <c r="D4">
        <v>489.26130000000001</v>
      </c>
      <c r="E4">
        <v>0.58640000000000003</v>
      </c>
    </row>
    <row r="5" spans="1:5" x14ac:dyDescent="0.3">
      <c r="A5">
        <v>3</v>
      </c>
      <c r="B5">
        <v>0.67020000000000002</v>
      </c>
      <c r="C5">
        <v>100</v>
      </c>
      <c r="D5">
        <v>733.89200000000005</v>
      </c>
      <c r="E5">
        <v>0.81630000000000003</v>
      </c>
    </row>
    <row r="6" spans="1:5" x14ac:dyDescent="0.3">
      <c r="A6">
        <v>4</v>
      </c>
      <c r="B6">
        <v>0.67020000000000002</v>
      </c>
      <c r="C6">
        <v>100</v>
      </c>
      <c r="D6">
        <v>978.52260000000001</v>
      </c>
      <c r="E6">
        <v>1.0113000000000001</v>
      </c>
    </row>
    <row r="7" spans="1:5" x14ac:dyDescent="0.3">
      <c r="A7">
        <v>5</v>
      </c>
      <c r="B7">
        <v>0.67020000000000002</v>
      </c>
      <c r="C7">
        <v>100</v>
      </c>
      <c r="D7">
        <v>1223.1532999999999</v>
      </c>
      <c r="E7">
        <v>1.1785000000000001</v>
      </c>
    </row>
    <row r="8" spans="1:5" x14ac:dyDescent="0.3">
      <c r="A8">
        <v>6</v>
      </c>
      <c r="B8">
        <v>0.67020000000000002</v>
      </c>
      <c r="C8">
        <v>100</v>
      </c>
      <c r="D8">
        <v>1467.7838999999999</v>
      </c>
      <c r="E8">
        <v>1.3198000000000001</v>
      </c>
    </row>
    <row r="9" spans="1:5" x14ac:dyDescent="0.3">
      <c r="A9">
        <v>7</v>
      </c>
      <c r="B9">
        <v>0.67020000000000002</v>
      </c>
      <c r="C9">
        <v>100</v>
      </c>
      <c r="D9">
        <v>1712.4146000000001</v>
      </c>
      <c r="E9">
        <v>1.4406000000000001</v>
      </c>
    </row>
    <row r="10" spans="1:5" x14ac:dyDescent="0.3">
      <c r="A10">
        <v>8</v>
      </c>
      <c r="B10">
        <v>0.67020000000000002</v>
      </c>
      <c r="C10">
        <v>60</v>
      </c>
      <c r="D10">
        <v>1957.0452</v>
      </c>
      <c r="E10">
        <v>1.5448999999999999</v>
      </c>
    </row>
    <row r="11" spans="1:5" x14ac:dyDescent="0.3">
      <c r="A11">
        <v>9</v>
      </c>
      <c r="B11">
        <v>0.67020000000000002</v>
      </c>
      <c r="C11">
        <v>60</v>
      </c>
      <c r="D11">
        <v>2201.6759000000002</v>
      </c>
      <c r="E11">
        <v>1.6354</v>
      </c>
    </row>
    <row r="12" spans="1:5" x14ac:dyDescent="0.3">
      <c r="A12">
        <v>10</v>
      </c>
      <c r="B12">
        <v>0.67020000000000002</v>
      </c>
      <c r="C12">
        <v>20</v>
      </c>
      <c r="D12">
        <v>2446.3065000000001</v>
      </c>
      <c r="E12">
        <v>1.7143999999999999</v>
      </c>
    </row>
    <row r="13" spans="1:5" x14ac:dyDescent="0.3">
      <c r="A13">
        <v>11</v>
      </c>
      <c r="B13">
        <v>0.58340000000000003</v>
      </c>
      <c r="C13">
        <v>20</v>
      </c>
      <c r="D13">
        <v>2935.5677999999998</v>
      </c>
      <c r="E13">
        <v>1.8411</v>
      </c>
    </row>
    <row r="14" spans="1:5" x14ac:dyDescent="0.3">
      <c r="A14">
        <v>12</v>
      </c>
      <c r="B14">
        <v>0.54110000000000003</v>
      </c>
      <c r="C14">
        <v>20</v>
      </c>
      <c r="D14">
        <v>3148.4917</v>
      </c>
      <c r="E14">
        <v>1.8874</v>
      </c>
    </row>
    <row r="15" spans="1:5" x14ac:dyDescent="0.3">
      <c r="A15">
        <v>13</v>
      </c>
      <c r="B15">
        <v>0.50229999999999997</v>
      </c>
      <c r="C15">
        <v>20</v>
      </c>
      <c r="D15">
        <v>3345.9859999999999</v>
      </c>
      <c r="E15">
        <v>1.9256</v>
      </c>
    </row>
    <row r="16" spans="1:5" x14ac:dyDescent="0.3">
      <c r="A16">
        <v>14</v>
      </c>
      <c r="B16">
        <v>0.46639999999999998</v>
      </c>
      <c r="C16">
        <v>20</v>
      </c>
      <c r="D16">
        <v>3529.3137000000002</v>
      </c>
      <c r="E16">
        <v>1.9582999999999999</v>
      </c>
    </row>
    <row r="17" spans="1:5" x14ac:dyDescent="0.3">
      <c r="A17">
        <v>15</v>
      </c>
      <c r="B17">
        <v>0.43309999999999998</v>
      </c>
      <c r="C17">
        <v>20</v>
      </c>
      <c r="D17">
        <v>3699.5381000000002</v>
      </c>
      <c r="E17">
        <v>1.9866999999999999</v>
      </c>
    </row>
    <row r="18" spans="1:5" x14ac:dyDescent="0.3">
      <c r="A18">
        <v>16</v>
      </c>
      <c r="B18">
        <v>0.40189999999999998</v>
      </c>
      <c r="C18">
        <v>20</v>
      </c>
      <c r="D18">
        <v>3857.6149999999998</v>
      </c>
      <c r="E18">
        <v>2.0112999999999999</v>
      </c>
    </row>
    <row r="19" spans="1:5" x14ac:dyDescent="0.3">
      <c r="A19">
        <v>17</v>
      </c>
      <c r="B19">
        <v>0.373</v>
      </c>
      <c r="C19">
        <v>20</v>
      </c>
      <c r="D19">
        <v>4004.3236999999999</v>
      </c>
      <c r="E19">
        <v>2.0329999999999999</v>
      </c>
    </row>
    <row r="20" spans="1:5" x14ac:dyDescent="0.3">
      <c r="A20">
        <v>18</v>
      </c>
      <c r="B20">
        <v>0.34599999999999997</v>
      </c>
      <c r="C20">
        <v>20</v>
      </c>
      <c r="D20">
        <v>4140.4588999999996</v>
      </c>
      <c r="E20">
        <v>2.0528</v>
      </c>
    </row>
    <row r="21" spans="1:5" x14ac:dyDescent="0.3">
      <c r="A21">
        <v>19</v>
      </c>
      <c r="B21">
        <v>0.32100000000000001</v>
      </c>
      <c r="C21">
        <v>20</v>
      </c>
      <c r="D21">
        <v>4266.7425000000003</v>
      </c>
      <c r="E21">
        <v>2.0699999999999998</v>
      </c>
    </row>
    <row r="22" spans="1:5" x14ac:dyDescent="0.3">
      <c r="A22">
        <v>20</v>
      </c>
      <c r="B22">
        <v>0.29770000000000002</v>
      </c>
      <c r="C22">
        <v>20</v>
      </c>
      <c r="D22">
        <v>4383.9129999999996</v>
      </c>
      <c r="E22">
        <v>2.0861999999999998</v>
      </c>
    </row>
    <row r="23" spans="1:5" x14ac:dyDescent="0.3">
      <c r="A23">
        <v>21</v>
      </c>
      <c r="B23">
        <v>0.27600000000000002</v>
      </c>
      <c r="C23">
        <v>20</v>
      </c>
      <c r="D23">
        <v>4492.5700999999999</v>
      </c>
      <c r="E23">
        <v>2.101</v>
      </c>
    </row>
    <row r="24" spans="1:5" x14ac:dyDescent="0.3">
      <c r="A24">
        <v>22</v>
      </c>
      <c r="B24">
        <v>0.25259999999999999</v>
      </c>
      <c r="C24">
        <v>20</v>
      </c>
      <c r="D24">
        <v>4593.3159999999998</v>
      </c>
      <c r="E24">
        <v>2.1141999999999999</v>
      </c>
    </row>
    <row r="25" spans="1:5" x14ac:dyDescent="0.3">
      <c r="A25">
        <v>23</v>
      </c>
      <c r="B25">
        <v>0.22969999999999999</v>
      </c>
      <c r="C25">
        <v>20</v>
      </c>
      <c r="D25">
        <v>4685.5326999999997</v>
      </c>
      <c r="E25">
        <v>2.1267</v>
      </c>
    </row>
    <row r="26" spans="1:5" x14ac:dyDescent="0.3">
      <c r="A26">
        <v>24</v>
      </c>
      <c r="B26">
        <v>0.20880000000000001</v>
      </c>
      <c r="C26">
        <v>20</v>
      </c>
      <c r="D26">
        <v>4769.3786</v>
      </c>
      <c r="E26">
        <v>2.1383999999999999</v>
      </c>
    </row>
    <row r="27" spans="1:5" x14ac:dyDescent="0.3">
      <c r="A27">
        <v>25</v>
      </c>
      <c r="B27">
        <v>0.1898</v>
      </c>
      <c r="C27">
        <v>20</v>
      </c>
      <c r="D27">
        <v>4845.5826999999999</v>
      </c>
      <c r="E27">
        <v>2.1484999999999999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A9FD-E29A-4668-BCA6-55AD8097EFBB}">
  <dimension ref="A1:E20"/>
  <sheetViews>
    <sheetView workbookViewId="0">
      <selection activeCell="G20" sqref="G20"/>
    </sheetView>
  </sheetViews>
  <sheetFormatPr defaultRowHeight="14.4" x14ac:dyDescent="0.3"/>
  <cols>
    <col min="1" max="1" width="10.5546875" bestFit="1" customWidth="1"/>
    <col min="2" max="2" width="15" bestFit="1" customWidth="1"/>
    <col min="3" max="3" width="7.77734375" bestFit="1" customWidth="1"/>
    <col min="4" max="4" width="17.6640625" bestFit="1" customWidth="1"/>
    <col min="5" max="5" width="19.21875" bestFit="1" customWidth="1"/>
  </cols>
  <sheetData>
    <row r="1" spans="1:5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</row>
    <row r="2" spans="1:5" x14ac:dyDescent="0.3">
      <c r="A2">
        <v>0</v>
      </c>
      <c r="B2">
        <v>0.56100000000000005</v>
      </c>
      <c r="C2">
        <v>100</v>
      </c>
      <c r="D2">
        <v>0</v>
      </c>
      <c r="E2">
        <v>0</v>
      </c>
    </row>
    <row r="3" spans="1:5" x14ac:dyDescent="0.3">
      <c r="A3">
        <v>1</v>
      </c>
      <c r="B3">
        <v>0.56100000000000005</v>
      </c>
      <c r="C3">
        <v>100</v>
      </c>
      <c r="D3">
        <v>204.7655</v>
      </c>
      <c r="E3">
        <v>0.26100000000000001</v>
      </c>
    </row>
    <row r="4" spans="1:5" x14ac:dyDescent="0.3">
      <c r="A4">
        <v>2</v>
      </c>
      <c r="B4">
        <v>0.56100000000000005</v>
      </c>
      <c r="C4">
        <v>100</v>
      </c>
      <c r="D4">
        <v>409.53100000000001</v>
      </c>
      <c r="E4">
        <v>0.47460000000000002</v>
      </c>
    </row>
    <row r="5" spans="1:5" x14ac:dyDescent="0.3">
      <c r="A5">
        <v>3</v>
      </c>
      <c r="B5">
        <v>0.56100000000000005</v>
      </c>
      <c r="C5">
        <v>100</v>
      </c>
      <c r="D5">
        <v>614.29650000000004</v>
      </c>
      <c r="E5">
        <v>0.65069999999999995</v>
      </c>
    </row>
    <row r="6" spans="1:5" x14ac:dyDescent="0.3">
      <c r="A6">
        <v>4</v>
      </c>
      <c r="B6">
        <v>0.56100000000000005</v>
      </c>
      <c r="C6">
        <v>100</v>
      </c>
      <c r="D6">
        <v>819.06209999999999</v>
      </c>
      <c r="E6">
        <v>0.79600000000000004</v>
      </c>
    </row>
    <row r="7" spans="1:5" x14ac:dyDescent="0.3">
      <c r="A7">
        <v>5</v>
      </c>
      <c r="B7">
        <v>0.56100000000000005</v>
      </c>
      <c r="C7">
        <v>100</v>
      </c>
      <c r="D7">
        <v>1023.8276</v>
      </c>
      <c r="E7">
        <v>0.9153</v>
      </c>
    </row>
    <row r="8" spans="1:5" x14ac:dyDescent="0.3">
      <c r="A8">
        <v>6</v>
      </c>
      <c r="B8">
        <v>0.56100000000000005</v>
      </c>
      <c r="C8">
        <v>100</v>
      </c>
      <c r="D8">
        <v>1228.5931</v>
      </c>
      <c r="E8">
        <v>1.0141</v>
      </c>
    </row>
    <row r="9" spans="1:5" x14ac:dyDescent="0.3">
      <c r="A9">
        <v>7</v>
      </c>
      <c r="B9">
        <v>0.56100000000000005</v>
      </c>
      <c r="C9">
        <v>100</v>
      </c>
      <c r="D9">
        <v>1433.3586</v>
      </c>
      <c r="E9">
        <v>1.0962000000000001</v>
      </c>
    </row>
    <row r="10" spans="1:5" x14ac:dyDescent="0.3">
      <c r="A10">
        <v>8</v>
      </c>
      <c r="B10">
        <v>0.56100000000000005</v>
      </c>
      <c r="C10">
        <v>60</v>
      </c>
      <c r="D10">
        <v>1638.1241</v>
      </c>
      <c r="E10">
        <v>1.1648000000000001</v>
      </c>
    </row>
    <row r="11" spans="1:5" x14ac:dyDescent="0.3">
      <c r="A11">
        <v>9</v>
      </c>
      <c r="B11">
        <v>0.56100000000000005</v>
      </c>
      <c r="C11">
        <v>60</v>
      </c>
      <c r="D11">
        <v>1842.8896</v>
      </c>
      <c r="E11">
        <v>1.2229000000000001</v>
      </c>
    </row>
    <row r="12" spans="1:5" x14ac:dyDescent="0.3">
      <c r="A12">
        <v>10</v>
      </c>
      <c r="B12">
        <v>0.56100000000000005</v>
      </c>
      <c r="C12">
        <v>20</v>
      </c>
      <c r="D12">
        <v>2047.6551999999999</v>
      </c>
      <c r="E12">
        <v>1.272</v>
      </c>
    </row>
    <row r="13" spans="1:5" x14ac:dyDescent="0.3">
      <c r="A13">
        <v>11</v>
      </c>
      <c r="B13">
        <v>0.45729999999999998</v>
      </c>
      <c r="C13">
        <v>20</v>
      </c>
      <c r="D13">
        <v>2457.1862000000001</v>
      </c>
      <c r="E13">
        <v>1.351</v>
      </c>
    </row>
    <row r="14" spans="1:5" x14ac:dyDescent="0.3">
      <c r="A14">
        <v>12</v>
      </c>
      <c r="B14">
        <v>0.40949999999999998</v>
      </c>
      <c r="C14">
        <v>20</v>
      </c>
      <c r="D14">
        <v>2624.0826999999999</v>
      </c>
      <c r="E14">
        <v>1.3781000000000001</v>
      </c>
    </row>
    <row r="15" spans="1:5" x14ac:dyDescent="0.3">
      <c r="A15">
        <v>13</v>
      </c>
      <c r="B15">
        <v>0.36659999999999998</v>
      </c>
      <c r="C15">
        <v>20</v>
      </c>
      <c r="D15">
        <v>2773.5659999999998</v>
      </c>
      <c r="E15">
        <v>1.4001999999999999</v>
      </c>
    </row>
    <row r="16" spans="1:5" x14ac:dyDescent="0.3">
      <c r="A16">
        <v>14</v>
      </c>
      <c r="B16">
        <v>0.3281</v>
      </c>
      <c r="C16">
        <v>20</v>
      </c>
      <c r="D16">
        <v>2907.3726999999999</v>
      </c>
      <c r="E16">
        <v>1.419</v>
      </c>
    </row>
    <row r="17" spans="1:5" x14ac:dyDescent="0.3">
      <c r="A17">
        <v>15</v>
      </c>
      <c r="B17">
        <v>0.29339999999999999</v>
      </c>
      <c r="C17">
        <v>20</v>
      </c>
      <c r="D17">
        <v>3027.1122999999998</v>
      </c>
      <c r="E17">
        <v>1.4356</v>
      </c>
    </row>
    <row r="18" spans="1:5" x14ac:dyDescent="0.3">
      <c r="A18">
        <v>16</v>
      </c>
      <c r="B18">
        <v>0.2606</v>
      </c>
      <c r="C18">
        <v>20</v>
      </c>
      <c r="D18">
        <v>3134.1954000000001</v>
      </c>
      <c r="E18">
        <v>1.4498</v>
      </c>
    </row>
    <row r="19" spans="1:5" x14ac:dyDescent="0.3">
      <c r="A19">
        <v>17</v>
      </c>
      <c r="B19">
        <v>0.22620000000000001</v>
      </c>
      <c r="C19">
        <v>20</v>
      </c>
      <c r="D19">
        <v>3229.306</v>
      </c>
      <c r="E19">
        <v>1.4626999999999999</v>
      </c>
    </row>
    <row r="20" spans="1:5" x14ac:dyDescent="0.3">
      <c r="A20">
        <v>18</v>
      </c>
      <c r="B20">
        <v>0.19620000000000001</v>
      </c>
      <c r="C20">
        <v>20</v>
      </c>
      <c r="D20">
        <v>3311.8575000000001</v>
      </c>
      <c r="E20">
        <v>1.4739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petrophysocs</vt:lpstr>
      <vt:lpstr>Saturation Calculation</vt:lpstr>
      <vt:lpstr>cap_pres</vt:lpstr>
      <vt:lpstr>PVT_data</vt:lpstr>
      <vt:lpstr>MDT_data</vt:lpstr>
      <vt:lpstr>well_test_VFP</vt:lpstr>
      <vt:lpstr>prod_data</vt:lpstr>
      <vt:lpstr>Low</vt:lpstr>
      <vt:lpstr>Mid</vt:lpstr>
      <vt:lpstr>High</vt:lpstr>
      <vt:lpstr>PVT_data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</dc:creator>
  <cp:lastModifiedBy>Lateef kareem</cp:lastModifiedBy>
  <cp:lastPrinted>2020-02-24T16:02:46Z</cp:lastPrinted>
  <dcterms:created xsi:type="dcterms:W3CDTF">2020-01-17T11:46:10Z</dcterms:created>
  <dcterms:modified xsi:type="dcterms:W3CDTF">2026-04-27T06:44:42Z</dcterms:modified>
</cp:coreProperties>
</file>